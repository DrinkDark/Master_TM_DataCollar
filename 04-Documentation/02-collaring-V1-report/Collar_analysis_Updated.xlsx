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filterPrivacy="1" defaultThemeVersion="124226"/>
  <xr:revisionPtr revIDLastSave="0" documentId="8_{1C888E0C-5FF7-E74D-9466-3220904EC940}" xr6:coauthVersionLast="47" xr6:coauthVersionMax="47" xr10:uidLastSave="{00000000-0000-0000-0000-000000000000}"/>
  <bookViews>
    <workbookView xWindow="-51200" yWindow="-6700" windowWidth="46280" windowHeight="19840" xr2:uid="{00000000-000D-0000-FFFF-FFFF00000000}"/>
  </bookViews>
  <sheets>
    <sheet name="Groups_recordings" sheetId="1" r:id="rId1"/>
    <sheet name="Overview collars and glitches" sheetId="2" r:id="rId2"/>
  </sheets>
  <definedNames>
    <definedName name="_xlnm._FilterDatabase" localSheetId="0">Groups_recordings!$A$1:$V$1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2" i="1" l="1"/>
  <c r="S32" i="1"/>
  <c r="P32" i="1"/>
  <c r="Q32" i="1"/>
  <c r="O32" i="1"/>
  <c r="J32" i="1"/>
  <c r="J35" i="1"/>
  <c r="J33" i="1"/>
  <c r="J36" i="1"/>
  <c r="F49" i="2"/>
  <c r="E49" i="2"/>
  <c r="D49" i="2"/>
  <c r="C49" i="2"/>
  <c r="B49" i="2"/>
  <c r="A49" i="2"/>
  <c r="B4" i="2"/>
  <c r="U32" i="1"/>
  <c r="R32" i="1"/>
  <c r="N3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2" i="1"/>
</calcChain>
</file>

<file path=xl/sharedStrings.xml><?xml version="1.0" encoding="utf-8"?>
<sst xmlns="http://schemas.openxmlformats.org/spreadsheetml/2006/main" count="659" uniqueCount="131">
  <si>
    <t>Collar_ID</t>
  </si>
  <si>
    <t>Subject_ID</t>
  </si>
  <si>
    <t>Group</t>
  </si>
  <si>
    <t>Pom</t>
  </si>
  <si>
    <t>NH</t>
  </si>
  <si>
    <t>2023-10-01</t>
  </si>
  <si>
    <t>Sho</t>
  </si>
  <si>
    <t>AK</t>
  </si>
  <si>
    <t>2023-10-02</t>
  </si>
  <si>
    <t>Vry</t>
  </si>
  <si>
    <t>Xin</t>
  </si>
  <si>
    <t>BD</t>
  </si>
  <si>
    <t>2023-10-03</t>
  </si>
  <si>
    <t>Vul</t>
  </si>
  <si>
    <t>2023-10-04</t>
  </si>
  <si>
    <t>IF</t>
  </si>
  <si>
    <t>Nda</t>
  </si>
  <si>
    <t>2023-10-05</t>
  </si>
  <si>
    <t>Buk</t>
  </si>
  <si>
    <t>Yaz</t>
  </si>
  <si>
    <t>Fur</t>
  </si>
  <si>
    <t>KB</t>
  </si>
  <si>
    <t>NA</t>
  </si>
  <si>
    <t>Nak</t>
  </si>
  <si>
    <t>2023-10-06</t>
  </si>
  <si>
    <t>Oke</t>
  </si>
  <si>
    <t>2023-10-07</t>
  </si>
  <si>
    <t>Cai</t>
  </si>
  <si>
    <t>2023-10-09</t>
  </si>
  <si>
    <t>Pro</t>
  </si>
  <si>
    <t>Xiu</t>
  </si>
  <si>
    <t>CR</t>
  </si>
  <si>
    <t>2023-10-10</t>
  </si>
  <si>
    <t>Ndaw</t>
  </si>
  <si>
    <t>2023-10-11</t>
  </si>
  <si>
    <t>2023-10-12</t>
  </si>
  <si>
    <t>War</t>
  </si>
  <si>
    <t>Win</t>
  </si>
  <si>
    <t>Dix</t>
  </si>
  <si>
    <t>Tot</t>
  </si>
  <si>
    <t>Xia</t>
  </si>
  <si>
    <t>Tev</t>
  </si>
  <si>
    <t>2023-10-14</t>
  </si>
  <si>
    <t>Date of collaring</t>
  </si>
  <si>
    <t>Sex</t>
  </si>
  <si>
    <t>m</t>
  </si>
  <si>
    <t>f</t>
  </si>
  <si>
    <t>AgeGroup</t>
  </si>
  <si>
    <t>a</t>
  </si>
  <si>
    <t>sa</t>
  </si>
  <si>
    <t>Date collar activation</t>
  </si>
  <si>
    <t>2023-10-13</t>
  </si>
  <si>
    <t>Collar working Y/N</t>
  </si>
  <si>
    <t>Y</t>
  </si>
  <si>
    <t>N</t>
  </si>
  <si>
    <t>Comment</t>
  </si>
  <si>
    <t>Date experiment</t>
  </si>
  <si>
    <t>Date of drop-off</t>
  </si>
  <si>
    <t>23.10.2023</t>
  </si>
  <si>
    <t>Could not start recording and could not change setting. Only drop off worked.</t>
  </si>
  <si>
    <t>Guat</t>
  </si>
  <si>
    <t>Stopped recording after heavy rain. Removed collar to check data.</t>
  </si>
  <si>
    <t>Stopped working after 5 days. Low battery warning.</t>
  </si>
  <si>
    <t>No connection with app possible. Fittet collar 58 on him. That collar did not record either, so I removed it. Activation not possible(no SD card glitch)</t>
  </si>
  <si>
    <t>Bob</t>
  </si>
  <si>
    <t>Rat</t>
  </si>
  <si>
    <t>LT</t>
  </si>
  <si>
    <t>Tch</t>
  </si>
  <si>
    <t>Gil</t>
  </si>
  <si>
    <t>Rya</t>
  </si>
  <si>
    <t>Sta</t>
  </si>
  <si>
    <t>2023-10-29</t>
  </si>
  <si>
    <t>2023-10-30</t>
  </si>
  <si>
    <t>stopped recording after rain</t>
  </si>
  <si>
    <t>dispersed with collar.</t>
  </si>
  <si>
    <t>Stopped recording after heavy rain. Restarted recorded. Stopped again</t>
  </si>
  <si>
    <t>injured. Had to drop collar</t>
  </si>
  <si>
    <t>Dropped on its own. Retrieved on 30.10.2023. Water inside collar. Bitemarks on outside. Crack in plastic. Unlcear if water entered before or after drop. But dropped on ist own. Videotaped 2ndNovember2023_09:12</t>
  </si>
  <si>
    <t>Could not start recording and could not change setting. Took rain. Only drop off worked. SD card corrupted. After replacement it works. No SD card detected error while testing on 2nd11.2023.</t>
  </si>
  <si>
    <t>froze into no SD card detected after reactivation attemt on 30.10.2023</t>
  </si>
  <si>
    <t>2023-11-03-05:51</t>
  </si>
  <si>
    <t>2023-10-14-10:40</t>
  </si>
  <si>
    <t>2023-11-04-05:45</t>
  </si>
  <si>
    <t>2023-10-26-11:20</t>
  </si>
  <si>
    <t>2023-11-07</t>
  </si>
  <si>
    <t>No SD card glitch</t>
  </si>
  <si>
    <t>Does not drop. No error message.</t>
  </si>
  <si>
    <t>2023-10-19</t>
  </si>
  <si>
    <t>2023-11-02</t>
  </si>
  <si>
    <t>Could not start recording. Went into low battery warning immideately after attempting to start the recording.</t>
  </si>
  <si>
    <t>2023-10-27</t>
  </si>
  <si>
    <t>2023-10-31-07:07</t>
  </si>
  <si>
    <t>Still on monkey</t>
  </si>
  <si>
    <t>Froze after activation. No SD crad glitch. Could start recording after experiment. Monkey disappeared from group with collar.</t>
  </si>
  <si>
    <t>2023-11-01</t>
  </si>
  <si>
    <t>Showed up as number 80 in the beginning. Stopped recording. Restarted recording on 30.11.2023</t>
  </si>
  <si>
    <t>2023-11-03</t>
  </si>
  <si>
    <t>Froze after activation. No SD crad glitch. Could start recording after reset. Stopped again just before experiment.</t>
  </si>
  <si>
    <t>2023-11-04</t>
  </si>
  <si>
    <t>Froze after activation. No SD crad glitch. Collar dropped after glitch reversed.</t>
  </si>
  <si>
    <t>2023-10-23</t>
  </si>
  <si>
    <t>Frozen in ready-mode activation not possible. Dropped collar after collar reset itself.</t>
  </si>
  <si>
    <t>No SD card glitch. Cannot activate or drop.</t>
  </si>
  <si>
    <t>worked perfectly. Dropped after 8 days due to time constraints</t>
  </si>
  <si>
    <t>2023-11-07-07:45</t>
  </si>
  <si>
    <t>2023-10-17</t>
  </si>
  <si>
    <t>Zeu</t>
  </si>
  <si>
    <t>Stopped recording after experiment. Dropped it next day.</t>
  </si>
  <si>
    <t>2023-10-20</t>
  </si>
  <si>
    <t>Stopped recording Y/N</t>
  </si>
  <si>
    <t>Ready mode glitch</t>
  </si>
  <si>
    <t>Cannot activate - no glitch message</t>
  </si>
  <si>
    <t>Days of recordings</t>
  </si>
  <si>
    <t>Data GB</t>
  </si>
  <si>
    <t>Field error</t>
  </si>
  <si>
    <t>Battery problem</t>
  </si>
  <si>
    <t>Auto release malfunction</t>
  </si>
  <si>
    <t>Does not show up on app</t>
  </si>
  <si>
    <t>Percentage of working collar</t>
  </si>
  <si>
    <t>General collar problem</t>
  </si>
  <si>
    <t>Tot assessed collars</t>
  </si>
  <si>
    <t>Battery Issues</t>
  </si>
  <si>
    <t>Field problems</t>
  </si>
  <si>
    <t xml:space="preserve">TOT assessed </t>
  </si>
  <si>
    <t>General collars issues</t>
  </si>
  <si>
    <t>Remaning collars to assess</t>
  </si>
  <si>
    <t>2 Issues</t>
  </si>
  <si>
    <t>Retrieved</t>
  </si>
  <si>
    <t>SD card corrupted. No data</t>
  </si>
  <si>
    <t>battery problem</t>
  </si>
  <si>
    <t>Stopped recording after a couple of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</si>
</sst>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0"/>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2DCDB"/>
        <bgColor rgb="FF000000"/>
      </patternFill>
    </fill>
    <fill>
      <patternFill patternType="solid">
        <fgColor rgb="FFFFC500"/>
        <bgColor indexed="64"/>
      </patternFill>
    </fill>
    <fill>
      <patternFill patternType="solid">
        <fgColor theme="6" tint="0.39997558519241921"/>
        <bgColor indexed="64"/>
      </patternFill>
    </fill>
    <fill>
      <patternFill patternType="solid">
        <fgColor theme="9"/>
        <bgColor indexed="64"/>
      </patternFill>
    </fill>
    <fill>
      <patternFill patternType="solid">
        <fgColor theme="4" tint="-0.249977111117893"/>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0" fillId="0" borderId="0" xfId="0" applyNumberFormat="1"/>
    <xf numFmtId="2" fontId="0" fillId="0" borderId="0" xfId="0" applyNumberFormat="1"/>
    <xf numFmtId="0" fontId="0" fillId="3" borderId="0" xfId="0" applyFill="1"/>
    <xf numFmtId="49" fontId="0" fillId="3" borderId="0" xfId="0" applyNumberFormat="1" applyFill="1"/>
    <xf numFmtId="2" fontId="0" fillId="3" borderId="0" xfId="0" applyNumberFormat="1" applyFill="1"/>
    <xf numFmtId="0" fontId="1" fillId="0" borderId="0" xfId="0" applyFont="1"/>
    <xf numFmtId="0" fontId="0" fillId="5" borderId="0" xfId="0" applyFill="1"/>
    <xf numFmtId="0" fontId="0" fillId="6" borderId="0" xfId="0" applyFill="1"/>
    <xf numFmtId="0" fontId="0" fillId="7" borderId="0" xfId="0" applyFill="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2" xfId="0" applyFont="1" applyBorder="1" applyAlignment="1">
      <alignment horizontal="center" vertical="center" wrapText="1"/>
    </xf>
    <xf numFmtId="49" fontId="2" fillId="0" borderId="3" xfId="0" applyNumberFormat="1" applyFont="1" applyBorder="1"/>
    <xf numFmtId="49" fontId="2" fillId="0" borderId="4" xfId="0" applyNumberFormat="1" applyFont="1" applyBorder="1"/>
    <xf numFmtId="49" fontId="2" fillId="0" borderId="5" xfId="0" applyNumberFormat="1" applyFont="1" applyBorder="1"/>
    <xf numFmtId="49" fontId="2" fillId="0" borderId="6" xfId="0" applyNumberFormat="1" applyFont="1" applyBorder="1"/>
    <xf numFmtId="49" fontId="2" fillId="0" borderId="0" xfId="0" applyNumberFormat="1" applyFont="1"/>
    <xf numFmtId="49" fontId="2" fillId="0" borderId="7" xfId="0" applyNumberFormat="1" applyFont="1" applyBorder="1"/>
    <xf numFmtId="49" fontId="2" fillId="4" borderId="6" xfId="0" applyNumberFormat="1" applyFont="1" applyFill="1" applyBorder="1"/>
    <xf numFmtId="49" fontId="2" fillId="4" borderId="0" xfId="0" applyNumberFormat="1" applyFont="1" applyFill="1"/>
    <xf numFmtId="49" fontId="2" fillId="4" borderId="7" xfId="0" applyNumberFormat="1" applyFont="1" applyFill="1" applyBorder="1"/>
    <xf numFmtId="49" fontId="2" fillId="0" borderId="8" xfId="0" applyNumberFormat="1" applyFont="1" applyBorder="1"/>
    <xf numFmtId="49" fontId="2" fillId="0" borderId="9" xfId="0" applyNumberFormat="1" applyFont="1" applyBorder="1"/>
    <xf numFmtId="49" fontId="2" fillId="0" borderId="10" xfId="0" applyNumberFormat="1" applyFont="1" applyBorder="1"/>
    <xf numFmtId="49" fontId="4" fillId="8" borderId="6" xfId="0" applyNumberFormat="1" applyFont="1" applyFill="1" applyBorder="1"/>
    <xf numFmtId="49" fontId="4" fillId="8" borderId="0" xfId="0" applyNumberFormat="1" applyFont="1" applyFill="1"/>
    <xf numFmtId="49" fontId="4" fillId="8" borderId="7" xfId="0" applyNumberFormat="1" applyFont="1" applyFill="1" applyBorder="1"/>
    <xf numFmtId="0" fontId="3" fillId="0" borderId="11" xfId="0" applyFont="1" applyBorder="1" applyAlignment="1">
      <alignment horizontal="center" vertical="center" wrapText="1"/>
    </xf>
    <xf numFmtId="0" fontId="0" fillId="0" borderId="11" xfId="0" applyBorder="1"/>
    <xf numFmtId="49" fontId="2" fillId="3" borderId="6" xfId="0" applyNumberFormat="1" applyFont="1" applyFill="1" applyBorder="1"/>
    <xf numFmtId="49" fontId="2" fillId="3" borderId="0" xfId="0" applyNumberFormat="1" applyFont="1" applyFill="1"/>
    <xf numFmtId="49" fontId="2" fillId="3" borderId="7" xfId="0" applyNumberFormat="1" applyFont="1" applyFill="1" applyBorder="1"/>
    <xf numFmtId="0" fontId="1" fillId="2" borderId="0" xfId="0" applyFont="1" applyFill="1"/>
    <xf numFmtId="49" fontId="1" fillId="0" borderId="0" xfId="0" applyNumberFormat="1" applyFont="1" applyAlignment="1">
      <alignment horizontal="right"/>
    </xf>
  </cellXfs>
  <cellStyles count="1">
    <cellStyle name="Normal" xfId="0" builtinId="0"/>
  </cellStyles>
  <dxfs count="0"/>
  <tableStyles count="0" defaultTableStyle="TableStyleMedium2" defaultPivotStyle="PivotStyleMedium9"/>
  <colors>
    <mruColors>
      <color rgb="FFFFC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GB"/>
              <a:t>Overview issues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fr-FR"/>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5278-EC42-8CC2-018B4A8CEC9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5278-EC42-8CC2-018B4A8CEC9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5278-EC42-8CC2-018B4A8CEC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'Overview collars and glitches'!$A$1:$A$3</c:f>
              <c:strCache>
                <c:ptCount val="3"/>
                <c:pt idx="0">
                  <c:v>Battery Issues</c:v>
                </c:pt>
                <c:pt idx="1">
                  <c:v>Field problems</c:v>
                </c:pt>
                <c:pt idx="2">
                  <c:v>General collars issues</c:v>
                </c:pt>
              </c:strCache>
            </c:strRef>
          </c:cat>
          <c:val>
            <c:numRef>
              <c:f>'Overview collars and glitches'!$B$1:$B$3</c:f>
              <c:numCache>
                <c:formatCode>General</c:formatCode>
                <c:ptCount val="3"/>
                <c:pt idx="0">
                  <c:v>3</c:v>
                </c:pt>
                <c:pt idx="1">
                  <c:v>4</c:v>
                </c:pt>
                <c:pt idx="2">
                  <c:v>23</c:v>
                </c:pt>
              </c:numCache>
            </c:numRef>
          </c:val>
          <c:extLst>
            <c:ext xmlns:c16="http://schemas.microsoft.com/office/drawing/2014/chart" uri="{C3380CC4-5D6E-409C-BE32-E72D297353CC}">
              <c16:uniqueId val="{00000000-B265-AD46-92EC-91E58AB178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GB"/>
              <a:t>Overview Collars glitch</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CDD-7D47-93D8-D0065DC8DBD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CDD-7D47-93D8-D0065DC8DBD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CDD-7D47-93D8-D0065DC8DBD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CDD-7D47-93D8-D0065DC8DBD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CDD-7D47-93D8-D0065DC8DBD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CDD-7D47-93D8-D0065DC8DB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collars and glitches'!$A$52:$A$57</c:f>
              <c:strCache>
                <c:ptCount val="6"/>
                <c:pt idx="0">
                  <c:v>Stopped recording Y/N</c:v>
                </c:pt>
                <c:pt idx="1">
                  <c:v>No SD card glitch</c:v>
                </c:pt>
                <c:pt idx="2">
                  <c:v>Ready mode glitch</c:v>
                </c:pt>
                <c:pt idx="3">
                  <c:v>Cannot activate - no glitch message</c:v>
                </c:pt>
                <c:pt idx="4">
                  <c:v>Auto release malfunction</c:v>
                </c:pt>
                <c:pt idx="5">
                  <c:v>Does not show up on app</c:v>
                </c:pt>
              </c:strCache>
            </c:strRef>
          </c:cat>
          <c:val>
            <c:numRef>
              <c:f>'Overview collars and glitches'!$B$52:$B$57</c:f>
              <c:numCache>
                <c:formatCode>General</c:formatCode>
                <c:ptCount val="6"/>
                <c:pt idx="0">
                  <c:v>12</c:v>
                </c:pt>
                <c:pt idx="1">
                  <c:v>8</c:v>
                </c:pt>
                <c:pt idx="2">
                  <c:v>1</c:v>
                </c:pt>
                <c:pt idx="3">
                  <c:v>2</c:v>
                </c:pt>
                <c:pt idx="4">
                  <c:v>3</c:v>
                </c:pt>
                <c:pt idx="5">
                  <c:v>1</c:v>
                </c:pt>
              </c:numCache>
            </c:numRef>
          </c:val>
          <c:extLst>
            <c:ext xmlns:c16="http://schemas.microsoft.com/office/drawing/2014/chart" uri="{C3380CC4-5D6E-409C-BE32-E72D297353CC}">
              <c16:uniqueId val="{00000000-613B-0249-A5C5-0BBC52BF653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12700</xdr:colOff>
      <xdr:row>0</xdr:row>
      <xdr:rowOff>57150</xdr:rowOff>
    </xdr:from>
    <xdr:to>
      <xdr:col>9</xdr:col>
      <xdr:colOff>546100</xdr:colOff>
      <xdr:row>14</xdr:row>
      <xdr:rowOff>133350</xdr:rowOff>
    </xdr:to>
    <xdr:graphicFrame macro="">
      <xdr:nvGraphicFramePr>
        <xdr:cNvPr id="2" name="Chart 1">
          <a:extLst>
            <a:ext uri="{FF2B5EF4-FFF2-40B4-BE49-F238E27FC236}">
              <a16:creationId xmlns:a16="http://schemas.microsoft.com/office/drawing/2014/main" id="{EEFE92F9-4135-1B40-CF44-C1153BC76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20</xdr:row>
      <xdr:rowOff>171450</xdr:rowOff>
    </xdr:from>
    <xdr:to>
      <xdr:col>16</xdr:col>
      <xdr:colOff>622300</xdr:colOff>
      <xdr:row>38</xdr:row>
      <xdr:rowOff>139700</xdr:rowOff>
    </xdr:to>
    <xdr:graphicFrame macro="">
      <xdr:nvGraphicFramePr>
        <xdr:cNvPr id="5" name="Chart 4">
          <a:extLst>
            <a:ext uri="{FF2B5EF4-FFF2-40B4-BE49-F238E27FC236}">
              <a16:creationId xmlns:a16="http://schemas.microsoft.com/office/drawing/2014/main" id="{42A86977-0F43-EABD-894A-F13C7BE2F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
  <sheetViews>
    <sheetView tabSelected="1" topLeftCell="K1" zoomScale="120" zoomScaleNormal="120" workbookViewId="0">
      <pane ySplit="1" topLeftCell="A2" activePane="bottomLeft" state="frozen"/>
      <selection pane="bottomLeft" activeCell="U33" sqref="U33"/>
    </sheetView>
  </sheetViews>
  <sheetFormatPr baseColWidth="10" defaultColWidth="8.83203125" defaultRowHeight="15" x14ac:dyDescent="0.2"/>
  <cols>
    <col min="1" max="1" width="13.1640625" customWidth="1"/>
    <col min="2" max="2" width="14.1640625" customWidth="1"/>
    <col min="5" max="5" width="12" customWidth="1"/>
    <col min="6" max="6" width="18.6640625" style="1" customWidth="1"/>
    <col min="7" max="7" width="22.33203125" customWidth="1"/>
    <col min="8" max="8" width="19.6640625" customWidth="1"/>
    <col min="9" max="9" width="20.83203125" customWidth="1"/>
    <col min="10" max="10" width="18" customWidth="1"/>
    <col min="11" max="11" width="18" style="2" customWidth="1"/>
    <col min="12" max="21" width="18" customWidth="1"/>
    <col min="22" max="22" width="18.83203125" customWidth="1"/>
  </cols>
  <sheetData>
    <row r="1" spans="1:22" x14ac:dyDescent="0.2">
      <c r="A1" t="s">
        <v>0</v>
      </c>
      <c r="B1" t="s">
        <v>1</v>
      </c>
      <c r="C1" t="s">
        <v>2</v>
      </c>
      <c r="D1" t="s">
        <v>44</v>
      </c>
      <c r="E1" t="s">
        <v>47</v>
      </c>
      <c r="F1" s="1" t="s">
        <v>43</v>
      </c>
      <c r="G1" t="s">
        <v>50</v>
      </c>
      <c r="H1" t="s">
        <v>56</v>
      </c>
      <c r="I1" t="s">
        <v>57</v>
      </c>
      <c r="J1" t="s">
        <v>52</v>
      </c>
      <c r="K1" s="2" t="s">
        <v>113</v>
      </c>
      <c r="L1" t="s">
        <v>112</v>
      </c>
      <c r="M1" t="s">
        <v>109</v>
      </c>
      <c r="N1" s="7" t="s">
        <v>115</v>
      </c>
      <c r="O1" t="s">
        <v>85</v>
      </c>
      <c r="P1" t="s">
        <v>110</v>
      </c>
      <c r="Q1" t="s">
        <v>111</v>
      </c>
      <c r="R1" s="8" t="s">
        <v>114</v>
      </c>
      <c r="S1" t="s">
        <v>116</v>
      </c>
      <c r="T1" t="s">
        <v>117</v>
      </c>
      <c r="U1" s="9" t="s">
        <v>119</v>
      </c>
      <c r="V1" t="s">
        <v>55</v>
      </c>
    </row>
    <row r="2" spans="1:22" x14ac:dyDescent="0.2">
      <c r="A2">
        <v>57</v>
      </c>
      <c r="B2" t="s">
        <v>6</v>
      </c>
      <c r="C2" t="s">
        <v>7</v>
      </c>
      <c r="D2" t="s">
        <v>45</v>
      </c>
      <c r="E2" t="s">
        <v>48</v>
      </c>
      <c r="F2" s="1" t="s">
        <v>5</v>
      </c>
      <c r="G2" s="1" t="s">
        <v>51</v>
      </c>
      <c r="H2" s="1" t="s">
        <v>81</v>
      </c>
      <c r="I2" s="1" t="s">
        <v>72</v>
      </c>
      <c r="J2" t="s">
        <v>53</v>
      </c>
      <c r="K2" s="2">
        <v>23.7</v>
      </c>
      <c r="L2" s="2">
        <f>(K2*9)/32</f>
        <v>6.6656249999999995</v>
      </c>
      <c r="M2" s="1" t="s">
        <v>53</v>
      </c>
      <c r="N2" s="1" t="s">
        <v>54</v>
      </c>
      <c r="O2" s="1"/>
      <c r="P2" s="1"/>
      <c r="Q2" s="1"/>
      <c r="R2" s="1" t="s">
        <v>54</v>
      </c>
      <c r="S2" s="1"/>
      <c r="T2" s="1"/>
      <c r="U2" s="1" t="s">
        <v>53</v>
      </c>
      <c r="V2" s="1" t="s">
        <v>75</v>
      </c>
    </row>
    <row r="3" spans="1:22" x14ac:dyDescent="0.2">
      <c r="A3">
        <v>48</v>
      </c>
      <c r="B3" t="s">
        <v>16</v>
      </c>
      <c r="C3" t="s">
        <v>7</v>
      </c>
      <c r="D3" t="s">
        <v>45</v>
      </c>
      <c r="E3" t="s">
        <v>49</v>
      </c>
      <c r="F3" s="1" t="s">
        <v>17</v>
      </c>
      <c r="G3" s="1" t="s">
        <v>51</v>
      </c>
      <c r="H3" s="1" t="s">
        <v>81</v>
      </c>
      <c r="I3" s="1" t="s">
        <v>87</v>
      </c>
      <c r="J3" t="s">
        <v>53</v>
      </c>
      <c r="K3" s="2">
        <v>7.74</v>
      </c>
      <c r="L3" s="2">
        <f t="shared" ref="L3:L31" si="0">(K3*9)/32</f>
        <v>2.1768749999999999</v>
      </c>
      <c r="M3" s="1" t="s">
        <v>53</v>
      </c>
      <c r="N3" s="1" t="s">
        <v>54</v>
      </c>
      <c r="O3" s="1"/>
      <c r="P3" s="1"/>
      <c r="Q3" s="1"/>
      <c r="R3" s="1" t="s">
        <v>54</v>
      </c>
      <c r="S3" s="1"/>
      <c r="T3" s="1"/>
      <c r="U3" s="1" t="s">
        <v>53</v>
      </c>
      <c r="V3" s="1" t="s">
        <v>61</v>
      </c>
    </row>
    <row r="4" spans="1:22" x14ac:dyDescent="0.2">
      <c r="A4">
        <v>39</v>
      </c>
      <c r="B4" t="s">
        <v>18</v>
      </c>
      <c r="C4" t="s">
        <v>7</v>
      </c>
      <c r="D4" t="s">
        <v>45</v>
      </c>
      <c r="E4" t="s">
        <v>48</v>
      </c>
      <c r="F4" s="1" t="s">
        <v>17</v>
      </c>
      <c r="G4" s="1" t="s">
        <v>51</v>
      </c>
      <c r="H4" s="1" t="s">
        <v>81</v>
      </c>
      <c r="I4" s="1" t="s">
        <v>87</v>
      </c>
      <c r="J4" t="s">
        <v>54</v>
      </c>
      <c r="K4" s="2" t="s">
        <v>22</v>
      </c>
      <c r="L4" s="2" t="e">
        <f t="shared" si="0"/>
        <v>#VALUE!</v>
      </c>
      <c r="M4" s="1"/>
      <c r="N4" s="1" t="s">
        <v>54</v>
      </c>
      <c r="O4" s="1"/>
      <c r="P4" s="1" t="s">
        <v>53</v>
      </c>
      <c r="Q4" s="1"/>
      <c r="R4" s="1" t="s">
        <v>54</v>
      </c>
      <c r="S4" s="1"/>
      <c r="T4" s="1"/>
      <c r="U4" s="1" t="s">
        <v>53</v>
      </c>
      <c r="V4" s="1" t="s">
        <v>101</v>
      </c>
    </row>
    <row r="5" spans="1:22" x14ac:dyDescent="0.2">
      <c r="A5">
        <v>46</v>
      </c>
      <c r="B5" t="s">
        <v>33</v>
      </c>
      <c r="C5" t="s">
        <v>7</v>
      </c>
      <c r="D5" t="s">
        <v>46</v>
      </c>
      <c r="E5" t="s">
        <v>48</v>
      </c>
      <c r="F5" s="1" t="s">
        <v>34</v>
      </c>
      <c r="G5" s="1" t="s">
        <v>51</v>
      </c>
      <c r="H5" s="1" t="s">
        <v>81</v>
      </c>
      <c r="I5" s="1" t="s">
        <v>87</v>
      </c>
      <c r="J5" t="s">
        <v>53</v>
      </c>
      <c r="K5" s="2">
        <v>13.4</v>
      </c>
      <c r="L5" s="2">
        <f t="shared" si="0"/>
        <v>3.7687500000000003</v>
      </c>
      <c r="M5" s="1"/>
      <c r="N5" t="s">
        <v>53</v>
      </c>
      <c r="O5" s="1"/>
      <c r="P5" s="1"/>
      <c r="Q5" s="1"/>
      <c r="R5" s="1" t="s">
        <v>54</v>
      </c>
      <c r="S5" s="1"/>
      <c r="T5" s="1"/>
      <c r="U5" s="1" t="s">
        <v>54</v>
      </c>
      <c r="V5" s="1" t="s">
        <v>62</v>
      </c>
    </row>
    <row r="6" spans="1:22" x14ac:dyDescent="0.2">
      <c r="A6">
        <v>36</v>
      </c>
      <c r="B6" t="s">
        <v>10</v>
      </c>
      <c r="C6" t="s">
        <v>11</v>
      </c>
      <c r="D6" t="s">
        <v>45</v>
      </c>
      <c r="E6" t="s">
        <v>48</v>
      </c>
      <c r="F6" s="1" t="s">
        <v>12</v>
      </c>
      <c r="G6" s="1" t="s">
        <v>72</v>
      </c>
      <c r="H6" s="1" t="s">
        <v>82</v>
      </c>
      <c r="I6" s="1" t="s">
        <v>22</v>
      </c>
      <c r="J6" t="s">
        <v>22</v>
      </c>
      <c r="K6" s="2" t="s">
        <v>22</v>
      </c>
      <c r="L6" s="2" t="e">
        <f t="shared" si="0"/>
        <v>#VALUE!</v>
      </c>
      <c r="M6" s="1"/>
      <c r="N6" s="1" t="s">
        <v>54</v>
      </c>
      <c r="O6" s="1" t="s">
        <v>53</v>
      </c>
      <c r="P6" s="1"/>
      <c r="Q6" s="1"/>
      <c r="R6" s="1" t="s">
        <v>54</v>
      </c>
      <c r="S6" s="1"/>
      <c r="T6" s="1"/>
      <c r="U6" s="1" t="s">
        <v>53</v>
      </c>
      <c r="V6" t="s">
        <v>102</v>
      </c>
    </row>
    <row r="7" spans="1:22" x14ac:dyDescent="0.2">
      <c r="A7">
        <v>24</v>
      </c>
      <c r="B7" t="s">
        <v>23</v>
      </c>
      <c r="C7" t="s">
        <v>11</v>
      </c>
      <c r="D7" t="s">
        <v>45</v>
      </c>
      <c r="E7" t="s">
        <v>48</v>
      </c>
      <c r="F7" s="1" t="s">
        <v>24</v>
      </c>
      <c r="G7" s="1" t="s">
        <v>22</v>
      </c>
      <c r="H7" s="1" t="s">
        <v>82</v>
      </c>
      <c r="I7" s="1" t="s">
        <v>71</v>
      </c>
      <c r="J7" t="s">
        <v>22</v>
      </c>
      <c r="K7" s="2" t="s">
        <v>22</v>
      </c>
      <c r="L7" s="2" t="e">
        <f t="shared" si="0"/>
        <v>#VALUE!</v>
      </c>
      <c r="M7" s="1"/>
      <c r="N7" s="1" t="s">
        <v>54</v>
      </c>
      <c r="O7" s="1"/>
      <c r="P7" s="1"/>
      <c r="Q7" s="1"/>
      <c r="R7" s="1" t="s">
        <v>53</v>
      </c>
      <c r="S7" s="1"/>
      <c r="T7" s="1"/>
      <c r="U7" s="1" t="s">
        <v>54</v>
      </c>
      <c r="V7" t="s">
        <v>76</v>
      </c>
    </row>
    <row r="8" spans="1:22" x14ac:dyDescent="0.2">
      <c r="A8">
        <v>25</v>
      </c>
      <c r="B8" t="s">
        <v>37</v>
      </c>
      <c r="C8" t="s">
        <v>11</v>
      </c>
      <c r="D8" t="s">
        <v>45</v>
      </c>
      <c r="E8" t="s">
        <v>48</v>
      </c>
      <c r="F8" s="1" t="s">
        <v>35</v>
      </c>
      <c r="G8" s="1" t="s">
        <v>71</v>
      </c>
      <c r="H8" s="1" t="s">
        <v>82</v>
      </c>
      <c r="I8" s="1" t="s">
        <v>22</v>
      </c>
      <c r="J8" t="s">
        <v>22</v>
      </c>
      <c r="K8" s="2">
        <v>2.9</v>
      </c>
      <c r="L8" s="2">
        <f t="shared" si="0"/>
        <v>0.81562499999999993</v>
      </c>
      <c r="M8" s="1" t="s">
        <v>53</v>
      </c>
      <c r="N8" s="1" t="s">
        <v>54</v>
      </c>
      <c r="O8" s="1"/>
      <c r="P8" s="1"/>
      <c r="Q8" s="1"/>
      <c r="R8" s="1" t="s">
        <v>54</v>
      </c>
      <c r="S8" s="1"/>
      <c r="T8" s="1"/>
      <c r="U8" s="1" t="s">
        <v>53</v>
      </c>
      <c r="V8" t="s">
        <v>127</v>
      </c>
    </row>
    <row r="9" spans="1:22" x14ac:dyDescent="0.2">
      <c r="A9">
        <v>59</v>
      </c>
      <c r="B9" t="s">
        <v>38</v>
      </c>
      <c r="C9" t="s">
        <v>11</v>
      </c>
      <c r="D9" t="s">
        <v>45</v>
      </c>
      <c r="E9" t="s">
        <v>48</v>
      </c>
      <c r="F9" s="1" t="s">
        <v>35</v>
      </c>
      <c r="G9" s="1" t="s">
        <v>71</v>
      </c>
      <c r="H9" s="1" t="s">
        <v>82</v>
      </c>
      <c r="I9" s="1" t="s">
        <v>84</v>
      </c>
      <c r="J9" t="s">
        <v>53</v>
      </c>
      <c r="K9" s="2">
        <v>20.3</v>
      </c>
      <c r="L9" s="2">
        <f t="shared" si="0"/>
        <v>5.7093750000000005</v>
      </c>
      <c r="M9" s="1"/>
      <c r="N9" s="1" t="s">
        <v>54</v>
      </c>
      <c r="O9" s="1"/>
      <c r="P9" s="1"/>
      <c r="Q9" s="1"/>
      <c r="R9" s="1" t="s">
        <v>54</v>
      </c>
      <c r="S9" s="1"/>
      <c r="T9" s="1"/>
      <c r="U9" s="1" t="s">
        <v>54</v>
      </c>
      <c r="V9" s="1" t="s">
        <v>103</v>
      </c>
    </row>
    <row r="10" spans="1:22" x14ac:dyDescent="0.2">
      <c r="A10" s="3">
        <v>33</v>
      </c>
      <c r="B10" s="3" t="s">
        <v>39</v>
      </c>
      <c r="C10" s="3" t="s">
        <v>11</v>
      </c>
      <c r="D10" s="3" t="s">
        <v>45</v>
      </c>
      <c r="E10" s="3" t="s">
        <v>48</v>
      </c>
      <c r="F10" s="4" t="s">
        <v>35</v>
      </c>
      <c r="G10" s="4" t="s">
        <v>71</v>
      </c>
      <c r="H10" s="4" t="s">
        <v>82</v>
      </c>
      <c r="I10" s="4" t="s">
        <v>22</v>
      </c>
      <c r="J10" s="3" t="s">
        <v>22</v>
      </c>
      <c r="K10" s="5" t="s">
        <v>22</v>
      </c>
      <c r="L10" s="5" t="e">
        <f t="shared" si="0"/>
        <v>#VALUE!</v>
      </c>
      <c r="M10" s="4"/>
      <c r="N10" s="4" t="s">
        <v>54</v>
      </c>
      <c r="O10" s="4"/>
      <c r="P10" s="4"/>
      <c r="Q10" s="4"/>
      <c r="R10" s="4" t="s">
        <v>54</v>
      </c>
      <c r="S10" s="4" t="s">
        <v>53</v>
      </c>
      <c r="T10" s="4"/>
      <c r="U10" s="4" t="s">
        <v>53</v>
      </c>
      <c r="V10" s="3" t="s">
        <v>86</v>
      </c>
    </row>
    <row r="11" spans="1:22" x14ac:dyDescent="0.2">
      <c r="A11" s="3">
        <v>30</v>
      </c>
      <c r="B11" s="3" t="s">
        <v>40</v>
      </c>
      <c r="C11" s="3" t="s">
        <v>11</v>
      </c>
      <c r="D11" s="3" t="s">
        <v>45</v>
      </c>
      <c r="E11" s="3" t="s">
        <v>48</v>
      </c>
      <c r="F11" s="4" t="s">
        <v>42</v>
      </c>
      <c r="G11" s="4" t="s">
        <v>72</v>
      </c>
      <c r="H11" s="4" t="s">
        <v>82</v>
      </c>
      <c r="I11" s="4" t="s">
        <v>22</v>
      </c>
      <c r="J11" s="3" t="s">
        <v>22</v>
      </c>
      <c r="K11" s="5" t="s">
        <v>22</v>
      </c>
      <c r="L11" s="5" t="e">
        <f t="shared" si="0"/>
        <v>#VALUE!</v>
      </c>
      <c r="M11" s="4"/>
      <c r="N11" s="4" t="s">
        <v>54</v>
      </c>
      <c r="O11" s="4" t="s">
        <v>53</v>
      </c>
      <c r="P11" s="4"/>
      <c r="Q11" s="4"/>
      <c r="R11" s="4" t="s">
        <v>54</v>
      </c>
      <c r="S11" s="4"/>
      <c r="T11" s="4"/>
      <c r="U11" s="4" t="s">
        <v>53</v>
      </c>
      <c r="V11" s="3" t="s">
        <v>102</v>
      </c>
    </row>
    <row r="12" spans="1:22" x14ac:dyDescent="0.2">
      <c r="A12">
        <v>49</v>
      </c>
      <c r="B12" t="s">
        <v>64</v>
      </c>
      <c r="C12" t="s">
        <v>11</v>
      </c>
      <c r="D12" t="s">
        <v>45</v>
      </c>
      <c r="E12" t="s">
        <v>48</v>
      </c>
      <c r="F12" s="1" t="s">
        <v>105</v>
      </c>
      <c r="G12" s="1" t="s">
        <v>71</v>
      </c>
      <c r="H12" s="1" t="s">
        <v>82</v>
      </c>
      <c r="I12" s="1" t="s">
        <v>22</v>
      </c>
      <c r="J12" t="s">
        <v>54</v>
      </c>
      <c r="K12" s="2" t="s">
        <v>22</v>
      </c>
      <c r="L12" s="2" t="e">
        <f t="shared" si="0"/>
        <v>#VALUE!</v>
      </c>
      <c r="M12" s="1"/>
      <c r="N12" s="1" t="s">
        <v>54</v>
      </c>
      <c r="O12" s="1" t="s">
        <v>53</v>
      </c>
      <c r="P12" s="1"/>
      <c r="Q12" s="1"/>
      <c r="R12" s="1" t="s">
        <v>54</v>
      </c>
      <c r="S12" s="1"/>
      <c r="T12" s="1"/>
      <c r="U12" s="1" t="s">
        <v>54</v>
      </c>
      <c r="V12" t="s">
        <v>128</v>
      </c>
    </row>
    <row r="13" spans="1:22" x14ac:dyDescent="0.2">
      <c r="A13">
        <v>20</v>
      </c>
      <c r="B13" t="s">
        <v>29</v>
      </c>
      <c r="C13" t="s">
        <v>31</v>
      </c>
      <c r="D13" t="s">
        <v>45</v>
      </c>
      <c r="E13" t="s">
        <v>48</v>
      </c>
      <c r="F13" s="1" t="s">
        <v>32</v>
      </c>
      <c r="G13" s="1" t="s">
        <v>88</v>
      </c>
      <c r="H13" s="1" t="s">
        <v>104</v>
      </c>
      <c r="I13" s="1" t="s">
        <v>22</v>
      </c>
      <c r="J13" t="s">
        <v>22</v>
      </c>
      <c r="K13" s="2">
        <v>12.4</v>
      </c>
      <c r="L13" s="2">
        <f t="shared" si="0"/>
        <v>3.4875000000000003</v>
      </c>
      <c r="M13" s="1" t="s">
        <v>53</v>
      </c>
      <c r="N13" s="1" t="s">
        <v>54</v>
      </c>
      <c r="O13" s="1"/>
      <c r="P13" s="1"/>
      <c r="Q13" s="1"/>
      <c r="R13" s="1" t="s">
        <v>54</v>
      </c>
      <c r="S13" s="1"/>
      <c r="T13" s="1"/>
      <c r="U13" s="1" t="s">
        <v>53</v>
      </c>
      <c r="V13" t="s">
        <v>92</v>
      </c>
    </row>
    <row r="14" spans="1:22" x14ac:dyDescent="0.2">
      <c r="A14" s="3">
        <v>21</v>
      </c>
      <c r="B14" s="3" t="s">
        <v>30</v>
      </c>
      <c r="C14" s="3" t="s">
        <v>31</v>
      </c>
      <c r="D14" s="3" t="s">
        <v>45</v>
      </c>
      <c r="E14" s="3" t="s">
        <v>48</v>
      </c>
      <c r="F14" s="4" t="s">
        <v>32</v>
      </c>
      <c r="G14" s="4" t="s">
        <v>88</v>
      </c>
      <c r="H14" s="4" t="s">
        <v>104</v>
      </c>
      <c r="I14" s="4" t="s">
        <v>22</v>
      </c>
      <c r="J14" s="3" t="s">
        <v>22</v>
      </c>
      <c r="K14" s="5" t="s">
        <v>22</v>
      </c>
      <c r="L14" s="5" t="e">
        <f t="shared" si="0"/>
        <v>#VALUE!</v>
      </c>
      <c r="M14" s="4"/>
      <c r="N14" s="4" t="s">
        <v>54</v>
      </c>
      <c r="O14" s="4"/>
      <c r="P14" s="4"/>
      <c r="Q14" s="4"/>
      <c r="R14" s="4" t="s">
        <v>54</v>
      </c>
      <c r="S14" s="4" t="s">
        <v>53</v>
      </c>
      <c r="T14" s="4"/>
      <c r="U14" s="4" t="s">
        <v>54</v>
      </c>
      <c r="V14" s="3" t="s">
        <v>92</v>
      </c>
    </row>
    <row r="15" spans="1:22" x14ac:dyDescent="0.2">
      <c r="A15">
        <v>44</v>
      </c>
      <c r="B15" t="s">
        <v>36</v>
      </c>
      <c r="C15" t="s">
        <v>31</v>
      </c>
      <c r="D15" t="s">
        <v>45</v>
      </c>
      <c r="E15" t="s">
        <v>48</v>
      </c>
      <c r="F15" s="1" t="s">
        <v>35</v>
      </c>
      <c r="G15" s="1" t="s">
        <v>88</v>
      </c>
      <c r="H15" s="1" t="s">
        <v>104</v>
      </c>
      <c r="I15" s="1" t="s">
        <v>22</v>
      </c>
      <c r="J15" t="s">
        <v>22</v>
      </c>
      <c r="K15" s="2" t="s">
        <v>22</v>
      </c>
      <c r="L15" s="2" t="e">
        <f t="shared" si="0"/>
        <v>#VALUE!</v>
      </c>
      <c r="M15" s="1"/>
      <c r="N15" t="s">
        <v>53</v>
      </c>
      <c r="O15" s="1"/>
      <c r="P15" s="1"/>
      <c r="Q15" s="1"/>
      <c r="R15" s="1" t="s">
        <v>54</v>
      </c>
      <c r="S15" s="1"/>
      <c r="T15" s="1"/>
      <c r="U15" s="1" t="s">
        <v>54</v>
      </c>
      <c r="V15" t="s">
        <v>89</v>
      </c>
    </row>
    <row r="16" spans="1:22" x14ac:dyDescent="0.2">
      <c r="A16">
        <v>27</v>
      </c>
      <c r="B16" t="s">
        <v>106</v>
      </c>
      <c r="C16" t="s">
        <v>15</v>
      </c>
      <c r="D16" t="s">
        <v>45</v>
      </c>
      <c r="E16" t="s">
        <v>48</v>
      </c>
      <c r="F16" s="1" t="s">
        <v>14</v>
      </c>
      <c r="G16" s="1" t="s">
        <v>88</v>
      </c>
      <c r="H16" s="1" t="s">
        <v>80</v>
      </c>
      <c r="I16" s="1" t="s">
        <v>98</v>
      </c>
      <c r="J16" t="s">
        <v>22</v>
      </c>
      <c r="K16" s="2">
        <v>2.9</v>
      </c>
      <c r="L16" s="2">
        <f t="shared" si="0"/>
        <v>0.81562499999999993</v>
      </c>
      <c r="M16" s="1" t="s">
        <v>53</v>
      </c>
      <c r="N16" s="1" t="s">
        <v>54</v>
      </c>
      <c r="O16" s="1"/>
      <c r="P16" s="1"/>
      <c r="Q16" s="1"/>
      <c r="R16" s="1" t="s">
        <v>54</v>
      </c>
      <c r="S16" s="1"/>
      <c r="T16" s="1"/>
      <c r="U16" s="1" t="s">
        <v>53</v>
      </c>
      <c r="V16" t="s">
        <v>107</v>
      </c>
    </row>
    <row r="17" spans="1:22" x14ac:dyDescent="0.2">
      <c r="A17">
        <v>37</v>
      </c>
      <c r="B17" t="s">
        <v>25</v>
      </c>
      <c r="C17" t="s">
        <v>15</v>
      </c>
      <c r="D17" t="s">
        <v>45</v>
      </c>
      <c r="E17" t="s">
        <v>48</v>
      </c>
      <c r="F17" s="1" t="s">
        <v>26</v>
      </c>
      <c r="G17" s="1" t="s">
        <v>94</v>
      </c>
      <c r="H17" s="1" t="s">
        <v>80</v>
      </c>
      <c r="I17" s="1" t="s">
        <v>98</v>
      </c>
      <c r="J17" t="s">
        <v>53</v>
      </c>
      <c r="K17" s="2">
        <v>5.38</v>
      </c>
      <c r="L17" s="2">
        <f t="shared" si="0"/>
        <v>1.5131250000000001</v>
      </c>
      <c r="M17" s="1" t="s">
        <v>53</v>
      </c>
      <c r="N17" s="1" t="s">
        <v>54</v>
      </c>
      <c r="O17" s="1"/>
      <c r="P17" s="1"/>
      <c r="Q17" s="1"/>
      <c r="R17" s="1" t="s">
        <v>54</v>
      </c>
      <c r="S17" s="1"/>
      <c r="T17" s="1"/>
      <c r="U17" s="1" t="s">
        <v>53</v>
      </c>
      <c r="V17" t="s">
        <v>107</v>
      </c>
    </row>
    <row r="18" spans="1:22" x14ac:dyDescent="0.2">
      <c r="A18">
        <v>52</v>
      </c>
      <c r="B18" t="s">
        <v>67</v>
      </c>
      <c r="C18" t="s">
        <v>15</v>
      </c>
      <c r="D18" t="s">
        <v>45</v>
      </c>
      <c r="E18" t="s">
        <v>48</v>
      </c>
      <c r="F18" s="1" t="s">
        <v>87</v>
      </c>
      <c r="G18" s="1" t="s">
        <v>22</v>
      </c>
      <c r="H18" s="1" t="s">
        <v>80</v>
      </c>
      <c r="I18" s="1" t="s">
        <v>98</v>
      </c>
      <c r="J18" t="s">
        <v>22</v>
      </c>
      <c r="K18" s="2" t="s">
        <v>22</v>
      </c>
      <c r="L18" s="2" t="e">
        <f t="shared" si="0"/>
        <v>#VALUE!</v>
      </c>
      <c r="M18" s="1"/>
      <c r="N18" s="1" t="s">
        <v>54</v>
      </c>
      <c r="O18" s="1" t="s">
        <v>53</v>
      </c>
      <c r="P18" s="1"/>
      <c r="Q18" s="1"/>
      <c r="R18" s="1" t="s">
        <v>54</v>
      </c>
      <c r="S18" s="1"/>
      <c r="T18" s="1"/>
      <c r="U18" s="1" t="s">
        <v>53</v>
      </c>
      <c r="V18" s="1" t="s">
        <v>99</v>
      </c>
    </row>
    <row r="19" spans="1:22" x14ac:dyDescent="0.2">
      <c r="A19">
        <v>35</v>
      </c>
      <c r="B19" t="s">
        <v>68</v>
      </c>
      <c r="C19" t="s">
        <v>15</v>
      </c>
      <c r="D19" t="s">
        <v>45</v>
      </c>
      <c r="E19" t="s">
        <v>48</v>
      </c>
      <c r="F19" s="1" t="s">
        <v>108</v>
      </c>
      <c r="G19" s="1" t="s">
        <v>94</v>
      </c>
      <c r="H19" s="1" t="s">
        <v>80</v>
      </c>
      <c r="I19" s="1" t="s">
        <v>98</v>
      </c>
      <c r="J19" t="s">
        <v>22</v>
      </c>
      <c r="K19" s="2">
        <v>4.9400000000000004</v>
      </c>
      <c r="L19" s="2">
        <f t="shared" si="0"/>
        <v>1.389375</v>
      </c>
      <c r="M19" s="1" t="s">
        <v>53</v>
      </c>
      <c r="N19" s="1" t="s">
        <v>54</v>
      </c>
      <c r="O19" s="1" t="s">
        <v>53</v>
      </c>
      <c r="P19" s="1"/>
      <c r="Q19" s="1"/>
      <c r="R19" s="1" t="s">
        <v>54</v>
      </c>
      <c r="S19" s="1"/>
      <c r="T19" s="1"/>
      <c r="U19" s="1" t="s">
        <v>53</v>
      </c>
      <c r="V19" s="1" t="s">
        <v>97</v>
      </c>
    </row>
    <row r="20" spans="1:22" x14ac:dyDescent="0.2">
      <c r="A20">
        <v>55</v>
      </c>
      <c r="B20" t="s">
        <v>19</v>
      </c>
      <c r="C20" t="s">
        <v>21</v>
      </c>
      <c r="D20" t="s">
        <v>45</v>
      </c>
      <c r="E20" t="s">
        <v>49</v>
      </c>
      <c r="F20" s="1" t="s">
        <v>17</v>
      </c>
      <c r="G20" s="1" t="s">
        <v>22</v>
      </c>
      <c r="H20" s="1" t="s">
        <v>91</v>
      </c>
      <c r="I20" s="1" t="s">
        <v>100</v>
      </c>
      <c r="J20" t="s">
        <v>54</v>
      </c>
      <c r="K20" s="2" t="s">
        <v>22</v>
      </c>
      <c r="L20" s="2" t="e">
        <f t="shared" si="0"/>
        <v>#VALUE!</v>
      </c>
      <c r="M20" s="1"/>
      <c r="N20" s="1" t="s">
        <v>54</v>
      </c>
      <c r="O20" s="1"/>
      <c r="P20" s="1"/>
      <c r="Q20" s="1"/>
      <c r="R20" s="1" t="s">
        <v>54</v>
      </c>
      <c r="S20" s="1"/>
      <c r="T20" s="1" t="s">
        <v>53</v>
      </c>
      <c r="U20" s="1" t="s">
        <v>53</v>
      </c>
      <c r="V20" s="1" t="s">
        <v>63</v>
      </c>
    </row>
    <row r="21" spans="1:22" x14ac:dyDescent="0.2">
      <c r="A21" s="3">
        <v>26</v>
      </c>
      <c r="B21" s="3" t="s">
        <v>20</v>
      </c>
      <c r="C21" s="3" t="s">
        <v>21</v>
      </c>
      <c r="D21" s="3" t="s">
        <v>45</v>
      </c>
      <c r="E21" s="3" t="s">
        <v>48</v>
      </c>
      <c r="F21" s="4" t="s">
        <v>17</v>
      </c>
      <c r="G21" s="4" t="s">
        <v>22</v>
      </c>
      <c r="H21" s="4" t="s">
        <v>91</v>
      </c>
      <c r="I21" s="4" t="s">
        <v>22</v>
      </c>
      <c r="J21" s="3" t="s">
        <v>22</v>
      </c>
      <c r="K21" s="5" t="s">
        <v>22</v>
      </c>
      <c r="L21" s="5" t="e">
        <f t="shared" si="0"/>
        <v>#VALUE!</v>
      </c>
      <c r="M21" s="4"/>
      <c r="N21" s="4" t="s">
        <v>54</v>
      </c>
      <c r="O21" s="4"/>
      <c r="P21" s="4"/>
      <c r="Q21" s="4"/>
      <c r="R21" s="4" t="s">
        <v>53</v>
      </c>
      <c r="S21" s="4"/>
      <c r="T21" s="4"/>
      <c r="U21" s="4" t="s">
        <v>54</v>
      </c>
      <c r="V21" s="3" t="s">
        <v>74</v>
      </c>
    </row>
    <row r="22" spans="1:22" x14ac:dyDescent="0.2">
      <c r="A22">
        <v>31</v>
      </c>
      <c r="B22" t="s">
        <v>41</v>
      </c>
      <c r="C22" t="s">
        <v>21</v>
      </c>
      <c r="D22" t="s">
        <v>45</v>
      </c>
      <c r="E22" t="s">
        <v>48</v>
      </c>
      <c r="F22" s="1" t="s">
        <v>42</v>
      </c>
      <c r="G22" s="1" t="s">
        <v>90</v>
      </c>
      <c r="H22" s="1" t="s">
        <v>91</v>
      </c>
      <c r="I22" s="1" t="s">
        <v>72</v>
      </c>
      <c r="J22" t="s">
        <v>54</v>
      </c>
      <c r="K22" s="2" t="s">
        <v>22</v>
      </c>
      <c r="L22" s="2" t="e">
        <f t="shared" si="0"/>
        <v>#VALUE!</v>
      </c>
      <c r="M22" s="1"/>
      <c r="N22" s="1" t="s">
        <v>54</v>
      </c>
      <c r="O22" s="1"/>
      <c r="P22" s="1"/>
      <c r="Q22" s="1"/>
      <c r="R22" s="1" t="s">
        <v>54</v>
      </c>
      <c r="S22" s="1" t="s">
        <v>53</v>
      </c>
      <c r="T22" s="1"/>
      <c r="U22" s="1" t="s">
        <v>53</v>
      </c>
      <c r="V22" s="1" t="s">
        <v>77</v>
      </c>
    </row>
    <row r="23" spans="1:22" x14ac:dyDescent="0.2">
      <c r="A23">
        <v>58</v>
      </c>
      <c r="B23" t="s">
        <v>19</v>
      </c>
      <c r="C23" t="s">
        <v>21</v>
      </c>
      <c r="D23" t="s">
        <v>45</v>
      </c>
      <c r="E23" t="s">
        <v>49</v>
      </c>
      <c r="F23" s="1" t="s">
        <v>58</v>
      </c>
      <c r="G23" s="1" t="s">
        <v>22</v>
      </c>
      <c r="H23" s="1" t="s">
        <v>91</v>
      </c>
      <c r="I23" s="1" t="s">
        <v>90</v>
      </c>
      <c r="J23" t="s">
        <v>54</v>
      </c>
      <c r="K23" s="2" t="s">
        <v>22</v>
      </c>
      <c r="L23" s="2" t="e">
        <f t="shared" si="0"/>
        <v>#VALUE!</v>
      </c>
      <c r="M23" s="1"/>
      <c r="N23" s="1" t="s">
        <v>54</v>
      </c>
      <c r="O23" s="1"/>
      <c r="P23" s="1"/>
      <c r="Q23" s="1" t="s">
        <v>53</v>
      </c>
      <c r="R23" s="1" t="s">
        <v>54</v>
      </c>
      <c r="S23" s="1"/>
      <c r="T23" s="1"/>
      <c r="U23" s="1" t="s">
        <v>53</v>
      </c>
      <c r="V23" t="s">
        <v>78</v>
      </c>
    </row>
    <row r="24" spans="1:22" x14ac:dyDescent="0.2">
      <c r="A24">
        <v>50</v>
      </c>
      <c r="B24" t="s">
        <v>65</v>
      </c>
      <c r="C24" t="s">
        <v>66</v>
      </c>
      <c r="D24" t="s">
        <v>45</v>
      </c>
      <c r="E24" t="s">
        <v>48</v>
      </c>
      <c r="F24" s="1" t="s">
        <v>105</v>
      </c>
      <c r="G24" s="1" t="s">
        <v>84</v>
      </c>
      <c r="H24" s="1" t="s">
        <v>22</v>
      </c>
      <c r="I24" s="1" t="s">
        <v>22</v>
      </c>
      <c r="J24" t="s">
        <v>54</v>
      </c>
      <c r="K24" s="2" t="s">
        <v>22</v>
      </c>
      <c r="L24" s="2" t="e">
        <f t="shared" si="0"/>
        <v>#VALUE!</v>
      </c>
      <c r="M24" s="1"/>
      <c r="N24" s="1" t="s">
        <v>54</v>
      </c>
      <c r="O24" s="1" t="s">
        <v>53</v>
      </c>
      <c r="P24" s="1"/>
      <c r="Q24" s="1"/>
      <c r="R24" s="1" t="s">
        <v>54</v>
      </c>
      <c r="S24" s="1"/>
      <c r="T24" s="1"/>
      <c r="U24" s="1" t="s">
        <v>53</v>
      </c>
      <c r="V24" t="s">
        <v>85</v>
      </c>
    </row>
    <row r="25" spans="1:22" x14ac:dyDescent="0.2">
      <c r="A25" s="3">
        <v>38</v>
      </c>
      <c r="B25" s="3" t="s">
        <v>69</v>
      </c>
      <c r="C25" s="3" t="s">
        <v>66</v>
      </c>
      <c r="D25" s="3" t="s">
        <v>45</v>
      </c>
      <c r="E25" s="3" t="s">
        <v>48</v>
      </c>
      <c r="F25" s="4" t="s">
        <v>108</v>
      </c>
      <c r="G25" s="4" t="s">
        <v>22</v>
      </c>
      <c r="H25" s="4" t="s">
        <v>22</v>
      </c>
      <c r="I25" s="4" t="s">
        <v>22</v>
      </c>
      <c r="J25" s="3" t="s">
        <v>22</v>
      </c>
      <c r="K25" s="5" t="s">
        <v>22</v>
      </c>
      <c r="L25" s="5" t="e">
        <f t="shared" si="0"/>
        <v>#VALUE!</v>
      </c>
      <c r="M25" s="4"/>
      <c r="N25" s="4" t="s">
        <v>54</v>
      </c>
      <c r="O25" s="4"/>
      <c r="P25" s="4"/>
      <c r="Q25" s="4"/>
      <c r="R25" s="4" t="s">
        <v>53</v>
      </c>
      <c r="S25" s="4"/>
      <c r="T25" s="4"/>
      <c r="U25" s="4" t="s">
        <v>54</v>
      </c>
      <c r="V25" s="3" t="s">
        <v>74</v>
      </c>
    </row>
    <row r="26" spans="1:22" x14ac:dyDescent="0.2">
      <c r="A26">
        <v>56</v>
      </c>
      <c r="B26" t="s">
        <v>70</v>
      </c>
      <c r="C26" t="s">
        <v>66</v>
      </c>
      <c r="D26" t="s">
        <v>45</v>
      </c>
      <c r="E26" t="s">
        <v>48</v>
      </c>
      <c r="F26" s="1" t="s">
        <v>108</v>
      </c>
      <c r="G26" s="1" t="s">
        <v>84</v>
      </c>
      <c r="H26" s="1" t="s">
        <v>22</v>
      </c>
      <c r="I26" s="1" t="s">
        <v>22</v>
      </c>
      <c r="J26" t="s">
        <v>53</v>
      </c>
      <c r="K26" s="2">
        <v>0.44</v>
      </c>
      <c r="L26" s="2">
        <f t="shared" si="0"/>
        <v>0.12375</v>
      </c>
      <c r="M26" s="1" t="s">
        <v>53</v>
      </c>
      <c r="N26" s="1" t="s">
        <v>54</v>
      </c>
      <c r="O26" s="1"/>
      <c r="P26" s="1"/>
      <c r="Q26" s="1"/>
      <c r="R26" s="1" t="s">
        <v>54</v>
      </c>
      <c r="S26" s="1"/>
      <c r="T26" s="1"/>
      <c r="U26" s="1" t="s">
        <v>53</v>
      </c>
      <c r="V26" t="s">
        <v>130</v>
      </c>
    </row>
    <row r="27" spans="1:22" x14ac:dyDescent="0.2">
      <c r="A27">
        <v>42</v>
      </c>
      <c r="B27" t="s">
        <v>3</v>
      </c>
      <c r="C27" t="s">
        <v>4</v>
      </c>
      <c r="D27" t="s">
        <v>45</v>
      </c>
      <c r="E27" t="s">
        <v>48</v>
      </c>
      <c r="F27" s="1" t="s">
        <v>5</v>
      </c>
      <c r="G27" s="1" t="s">
        <v>22</v>
      </c>
      <c r="H27" s="1" t="s">
        <v>83</v>
      </c>
      <c r="I27" s="1" t="s">
        <v>58</v>
      </c>
      <c r="J27" t="s">
        <v>54</v>
      </c>
      <c r="K27" s="2" t="s">
        <v>22</v>
      </c>
      <c r="L27" s="2" t="e">
        <f t="shared" si="0"/>
        <v>#VALUE!</v>
      </c>
      <c r="M27" s="1"/>
      <c r="N27" s="1" t="s">
        <v>54</v>
      </c>
      <c r="O27" s="1"/>
      <c r="P27" s="1"/>
      <c r="Q27" s="1" t="s">
        <v>53</v>
      </c>
      <c r="R27" s="1" t="s">
        <v>54</v>
      </c>
      <c r="S27" s="1"/>
      <c r="T27" s="1"/>
      <c r="U27" s="1" t="s">
        <v>53</v>
      </c>
      <c r="V27" s="1" t="s">
        <v>59</v>
      </c>
    </row>
    <row r="28" spans="1:22" x14ac:dyDescent="0.2">
      <c r="A28">
        <v>28</v>
      </c>
      <c r="B28" t="s">
        <v>9</v>
      </c>
      <c r="C28" t="s">
        <v>4</v>
      </c>
      <c r="D28" t="s">
        <v>45</v>
      </c>
      <c r="E28" t="s">
        <v>48</v>
      </c>
      <c r="F28" s="1" t="s">
        <v>8</v>
      </c>
      <c r="G28" s="1" t="s">
        <v>100</v>
      </c>
      <c r="H28" s="1" t="s">
        <v>83</v>
      </c>
      <c r="I28" s="1" t="s">
        <v>84</v>
      </c>
      <c r="J28" t="s">
        <v>53</v>
      </c>
      <c r="K28" s="2">
        <v>20.5</v>
      </c>
      <c r="L28" s="2">
        <f t="shared" si="0"/>
        <v>5.765625</v>
      </c>
      <c r="M28" s="1" t="s">
        <v>53</v>
      </c>
      <c r="N28" s="1" t="s">
        <v>54</v>
      </c>
      <c r="O28" s="1" t="s">
        <v>53</v>
      </c>
      <c r="P28" s="1"/>
      <c r="Q28" s="1"/>
      <c r="R28" s="1" t="s">
        <v>54</v>
      </c>
      <c r="S28" s="1"/>
      <c r="T28" s="1"/>
      <c r="U28" s="1" t="s">
        <v>53</v>
      </c>
      <c r="V28" t="s">
        <v>79</v>
      </c>
    </row>
    <row r="29" spans="1:22" x14ac:dyDescent="0.2">
      <c r="A29">
        <v>34</v>
      </c>
      <c r="B29" t="s">
        <v>13</v>
      </c>
      <c r="C29" t="s">
        <v>4</v>
      </c>
      <c r="D29" t="s">
        <v>45</v>
      </c>
      <c r="E29" t="s">
        <v>48</v>
      </c>
      <c r="F29" s="1" t="s">
        <v>14</v>
      </c>
      <c r="G29" s="1" t="s">
        <v>100</v>
      </c>
      <c r="H29" s="1" t="s">
        <v>83</v>
      </c>
      <c r="I29" s="1" t="s">
        <v>96</v>
      </c>
      <c r="J29" t="s">
        <v>53</v>
      </c>
      <c r="K29" s="2">
        <v>22.8</v>
      </c>
      <c r="L29" s="2">
        <f t="shared" si="0"/>
        <v>6.4125000000000005</v>
      </c>
      <c r="M29" s="1" t="s">
        <v>53</v>
      </c>
      <c r="N29" s="1" t="s">
        <v>54</v>
      </c>
      <c r="O29" s="1"/>
      <c r="P29" s="1"/>
      <c r="Q29" s="1"/>
      <c r="R29" s="1" t="s">
        <v>54</v>
      </c>
      <c r="S29" s="1"/>
      <c r="T29" s="1"/>
      <c r="U29" s="1" t="s">
        <v>53</v>
      </c>
      <c r="V29" t="s">
        <v>73</v>
      </c>
    </row>
    <row r="30" spans="1:22" x14ac:dyDescent="0.2">
      <c r="A30" s="3">
        <v>29</v>
      </c>
      <c r="B30" s="3" t="s">
        <v>27</v>
      </c>
      <c r="C30" s="3" t="s">
        <v>4</v>
      </c>
      <c r="D30" s="3" t="s">
        <v>45</v>
      </c>
      <c r="E30" s="3" t="s">
        <v>48</v>
      </c>
      <c r="F30" s="4" t="s">
        <v>28</v>
      </c>
      <c r="G30" s="4" t="s">
        <v>72</v>
      </c>
      <c r="H30" s="4" t="s">
        <v>83</v>
      </c>
      <c r="I30" s="4" t="s">
        <v>54</v>
      </c>
      <c r="J30" s="3" t="s">
        <v>54</v>
      </c>
      <c r="K30" s="5" t="s">
        <v>22</v>
      </c>
      <c r="L30" s="5" t="e">
        <f t="shared" si="0"/>
        <v>#VALUE!</v>
      </c>
      <c r="M30" s="4" t="s">
        <v>53</v>
      </c>
      <c r="N30" s="4" t="s">
        <v>54</v>
      </c>
      <c r="O30" s="4" t="s">
        <v>53</v>
      </c>
      <c r="P30" s="4"/>
      <c r="Q30" s="4"/>
      <c r="R30" s="4" t="s">
        <v>53</v>
      </c>
      <c r="S30" s="4"/>
      <c r="T30" s="4"/>
      <c r="U30" s="4" t="s">
        <v>53</v>
      </c>
      <c r="V30" s="4" t="s">
        <v>93</v>
      </c>
    </row>
    <row r="31" spans="1:22" x14ac:dyDescent="0.2">
      <c r="A31">
        <v>43</v>
      </c>
      <c r="B31" t="s">
        <v>60</v>
      </c>
      <c r="C31" t="s">
        <v>4</v>
      </c>
      <c r="D31" t="s">
        <v>46</v>
      </c>
      <c r="E31" t="s">
        <v>48</v>
      </c>
      <c r="F31" s="1" t="s">
        <v>108</v>
      </c>
      <c r="G31" s="1" t="s">
        <v>100</v>
      </c>
      <c r="H31" s="1" t="s">
        <v>83</v>
      </c>
      <c r="I31" s="1" t="s">
        <v>96</v>
      </c>
      <c r="J31" t="s">
        <v>53</v>
      </c>
      <c r="K31" s="2">
        <v>21.4</v>
      </c>
      <c r="L31" s="2">
        <f t="shared" si="0"/>
        <v>6.0187499999999998</v>
      </c>
      <c r="M31" s="1" t="s">
        <v>53</v>
      </c>
      <c r="N31" s="1" t="s">
        <v>54</v>
      </c>
      <c r="O31" s="1"/>
      <c r="P31" s="1"/>
      <c r="Q31" s="1"/>
      <c r="R31" s="1" t="s">
        <v>54</v>
      </c>
      <c r="S31" s="1"/>
      <c r="T31" s="1"/>
      <c r="U31" s="1" t="s">
        <v>53</v>
      </c>
      <c r="V31" s="1" t="s">
        <v>95</v>
      </c>
    </row>
    <row r="32" spans="1:22" x14ac:dyDescent="0.2">
      <c r="I32" s="34" t="s">
        <v>118</v>
      </c>
      <c r="J32" s="33">
        <f>COUNTIF(J2:J31,"Y")/(COUNTA(A:A)-1)*100</f>
        <v>30</v>
      </c>
      <c r="L32" s="2"/>
      <c r="M32" s="1"/>
      <c r="N32" s="7">
        <f>COUNTIF(N2:N31,N15)</f>
        <v>2</v>
      </c>
      <c r="O32">
        <f>COUNTA(O2:O31)</f>
        <v>8</v>
      </c>
      <c r="P32">
        <f t="shared" ref="P32:T32" si="1">COUNTA(P2:P31)</f>
        <v>1</v>
      </c>
      <c r="Q32">
        <f t="shared" si="1"/>
        <v>2</v>
      </c>
      <c r="R32" s="8">
        <f>COUNTIF(R2:R31,R30)</f>
        <v>4</v>
      </c>
      <c r="S32">
        <f t="shared" si="1"/>
        <v>3</v>
      </c>
      <c r="T32">
        <f t="shared" si="1"/>
        <v>1</v>
      </c>
      <c r="U32" s="9">
        <f>COUNTIF(U2:U31,U31)</f>
        <v>22</v>
      </c>
    </row>
    <row r="33" spans="9:10" x14ac:dyDescent="0.2">
      <c r="I33" s="6" t="s">
        <v>120</v>
      </c>
      <c r="J33">
        <f>30-11</f>
        <v>19</v>
      </c>
    </row>
    <row r="35" spans="9:10" x14ac:dyDescent="0.2">
      <c r="J35">
        <f>COUNTIF(J3:J31,"Y")</f>
        <v>8</v>
      </c>
    </row>
    <row r="36" spans="9:10" x14ac:dyDescent="0.2">
      <c r="J36">
        <f>COUNTA(A:A)</f>
        <v>31</v>
      </c>
    </row>
  </sheetData>
  <autoFilter ref="A1:V1" xr:uid="{00000000-0009-0000-0000-000000000000}">
    <sortState xmlns:xlrd2="http://schemas.microsoft.com/office/spreadsheetml/2017/richdata2" ref="A2:M31">
      <sortCondition ref="C1"/>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
  <sheetViews>
    <sheetView zoomScale="70" zoomScaleNormal="70" workbookViewId="0">
      <selection activeCell="B6" sqref="B6"/>
    </sheetView>
  </sheetViews>
  <sheetFormatPr baseColWidth="10" defaultColWidth="8.83203125" defaultRowHeight="15" x14ac:dyDescent="0.2"/>
  <cols>
    <col min="1" max="1" width="21.5" customWidth="1"/>
    <col min="2" max="2" width="16.5" customWidth="1"/>
    <col min="3" max="3" width="15.5" customWidth="1"/>
    <col min="4" max="4" width="21.5" customWidth="1"/>
    <col min="5" max="5" width="16.6640625" customWidth="1"/>
    <col min="6" max="6" width="24" customWidth="1"/>
    <col min="7" max="7" width="16.1640625" customWidth="1"/>
  </cols>
  <sheetData>
    <row r="1" spans="1:2" x14ac:dyDescent="0.2">
      <c r="A1" t="s">
        <v>121</v>
      </c>
      <c r="B1">
        <v>3</v>
      </c>
    </row>
    <row r="2" spans="1:2" x14ac:dyDescent="0.2">
      <c r="A2" t="s">
        <v>122</v>
      </c>
      <c r="B2">
        <v>4</v>
      </c>
    </row>
    <row r="3" spans="1:2" x14ac:dyDescent="0.2">
      <c r="A3" t="s">
        <v>124</v>
      </c>
      <c r="B3">
        <v>23</v>
      </c>
    </row>
    <row r="4" spans="1:2" x14ac:dyDescent="0.2">
      <c r="A4" t="s">
        <v>123</v>
      </c>
      <c r="B4">
        <f>SUM(B1:B3)</f>
        <v>30</v>
      </c>
    </row>
    <row r="6" spans="1:2" x14ac:dyDescent="0.2">
      <c r="A6" t="s">
        <v>125</v>
      </c>
      <c r="B6">
        <v>0</v>
      </c>
    </row>
    <row r="17" spans="1:7" ht="16" thickBot="1" x14ac:dyDescent="0.25"/>
    <row r="18" spans="1:7" s="12" customFormat="1" ht="33" thickBot="1" x14ac:dyDescent="0.25">
      <c r="A18" s="10" t="s">
        <v>109</v>
      </c>
      <c r="B18" s="11" t="s">
        <v>85</v>
      </c>
      <c r="C18" s="11" t="s">
        <v>110</v>
      </c>
      <c r="D18" s="11" t="s">
        <v>111</v>
      </c>
      <c r="E18" s="11" t="s">
        <v>116</v>
      </c>
      <c r="F18" s="11" t="s">
        <v>117</v>
      </c>
    </row>
    <row r="19" spans="1:7" x14ac:dyDescent="0.2">
      <c r="A19" s="13" t="s">
        <v>53</v>
      </c>
      <c r="B19" s="14" t="s">
        <v>54</v>
      </c>
      <c r="C19" s="14" t="s">
        <v>54</v>
      </c>
      <c r="D19" s="14" t="s">
        <v>54</v>
      </c>
      <c r="E19" s="14" t="s">
        <v>54</v>
      </c>
      <c r="F19" s="15" t="s">
        <v>54</v>
      </c>
    </row>
    <row r="20" spans="1:7" x14ac:dyDescent="0.2">
      <c r="A20" s="16" t="s">
        <v>53</v>
      </c>
      <c r="B20" s="17" t="s">
        <v>54</v>
      </c>
      <c r="C20" s="17" t="s">
        <v>54</v>
      </c>
      <c r="D20" s="17" t="s">
        <v>54</v>
      </c>
      <c r="E20" s="17" t="s">
        <v>54</v>
      </c>
      <c r="F20" s="18" t="s">
        <v>54</v>
      </c>
    </row>
    <row r="21" spans="1:7" x14ac:dyDescent="0.2">
      <c r="A21" s="16" t="s">
        <v>54</v>
      </c>
      <c r="B21" s="17" t="s">
        <v>54</v>
      </c>
      <c r="C21" s="17" t="s">
        <v>53</v>
      </c>
      <c r="D21" s="17" t="s">
        <v>54</v>
      </c>
      <c r="E21" s="17" t="s">
        <v>54</v>
      </c>
      <c r="F21" s="18" t="s">
        <v>54</v>
      </c>
    </row>
    <row r="22" spans="1:7" x14ac:dyDescent="0.2">
      <c r="A22" s="16" t="s">
        <v>54</v>
      </c>
      <c r="B22" s="17" t="s">
        <v>54</v>
      </c>
      <c r="C22" s="17" t="s">
        <v>54</v>
      </c>
      <c r="D22" s="17" t="s">
        <v>54</v>
      </c>
      <c r="E22" s="17" t="s">
        <v>54</v>
      </c>
      <c r="F22" s="18" t="s">
        <v>54</v>
      </c>
    </row>
    <row r="23" spans="1:7" x14ac:dyDescent="0.2">
      <c r="A23" s="16" t="s">
        <v>54</v>
      </c>
      <c r="B23" s="17" t="s">
        <v>53</v>
      </c>
      <c r="C23" s="17" t="s">
        <v>54</v>
      </c>
      <c r="D23" s="17" t="s">
        <v>54</v>
      </c>
      <c r="E23" s="17" t="s">
        <v>54</v>
      </c>
      <c r="F23" s="18" t="s">
        <v>54</v>
      </c>
    </row>
    <row r="24" spans="1:7" x14ac:dyDescent="0.2">
      <c r="A24" s="16" t="s">
        <v>54</v>
      </c>
      <c r="B24" s="17" t="s">
        <v>54</v>
      </c>
      <c r="C24" s="17" t="s">
        <v>54</v>
      </c>
      <c r="D24" s="17" t="s">
        <v>54</v>
      </c>
      <c r="E24" s="17" t="s">
        <v>54</v>
      </c>
      <c r="F24" s="18" t="s">
        <v>54</v>
      </c>
    </row>
    <row r="25" spans="1:7" x14ac:dyDescent="0.2">
      <c r="A25" s="16" t="s">
        <v>53</v>
      </c>
      <c r="B25" s="17" t="s">
        <v>54</v>
      </c>
      <c r="C25" s="17" t="s">
        <v>54</v>
      </c>
      <c r="D25" s="17" t="s">
        <v>54</v>
      </c>
      <c r="E25" s="17" t="s">
        <v>54</v>
      </c>
      <c r="F25" s="18" t="s">
        <v>54</v>
      </c>
    </row>
    <row r="26" spans="1:7" x14ac:dyDescent="0.2">
      <c r="A26" s="16" t="s">
        <v>54</v>
      </c>
      <c r="B26" s="17" t="s">
        <v>54</v>
      </c>
      <c r="C26" s="17" t="s">
        <v>54</v>
      </c>
      <c r="D26" s="17" t="s">
        <v>54</v>
      </c>
      <c r="E26" s="17" t="s">
        <v>54</v>
      </c>
      <c r="F26" s="18" t="s">
        <v>54</v>
      </c>
    </row>
    <row r="27" spans="1:7" x14ac:dyDescent="0.2">
      <c r="A27" s="19" t="s">
        <v>54</v>
      </c>
      <c r="B27" s="20" t="s">
        <v>54</v>
      </c>
      <c r="C27" s="20" t="s">
        <v>54</v>
      </c>
      <c r="D27" s="20" t="s">
        <v>54</v>
      </c>
      <c r="E27" s="20" t="s">
        <v>53</v>
      </c>
      <c r="F27" s="21" t="s">
        <v>54</v>
      </c>
    </row>
    <row r="28" spans="1:7" x14ac:dyDescent="0.2">
      <c r="A28" s="19" t="s">
        <v>54</v>
      </c>
      <c r="B28" s="20" t="s">
        <v>53</v>
      </c>
      <c r="C28" s="20" t="s">
        <v>54</v>
      </c>
      <c r="D28" s="20" t="s">
        <v>54</v>
      </c>
      <c r="E28" s="20" t="s">
        <v>54</v>
      </c>
      <c r="F28" s="21" t="s">
        <v>54</v>
      </c>
    </row>
    <row r="29" spans="1:7" x14ac:dyDescent="0.2">
      <c r="A29" s="16" t="s">
        <v>54</v>
      </c>
      <c r="B29" s="17" t="s">
        <v>53</v>
      </c>
      <c r="C29" s="17" t="s">
        <v>54</v>
      </c>
      <c r="D29" s="17" t="s">
        <v>54</v>
      </c>
      <c r="E29" s="17" t="s">
        <v>54</v>
      </c>
      <c r="F29" s="18" t="s">
        <v>54</v>
      </c>
    </row>
    <row r="30" spans="1:7" x14ac:dyDescent="0.2">
      <c r="A30" s="16" t="s">
        <v>53</v>
      </c>
      <c r="B30" s="17" t="s">
        <v>54</v>
      </c>
      <c r="C30" s="17" t="s">
        <v>54</v>
      </c>
      <c r="D30" s="17" t="s">
        <v>54</v>
      </c>
      <c r="E30" s="17" t="s">
        <v>54</v>
      </c>
      <c r="F30" s="18" t="s">
        <v>54</v>
      </c>
    </row>
    <row r="31" spans="1:7" x14ac:dyDescent="0.2">
      <c r="A31" s="19" t="s">
        <v>54</v>
      </c>
      <c r="B31" s="20" t="s">
        <v>54</v>
      </c>
      <c r="C31" s="20" t="s">
        <v>54</v>
      </c>
      <c r="D31" s="20" t="s">
        <v>54</v>
      </c>
      <c r="E31" s="20" t="s">
        <v>53</v>
      </c>
      <c r="F31" s="21" t="s">
        <v>54</v>
      </c>
    </row>
    <row r="32" spans="1:7" x14ac:dyDescent="0.2">
      <c r="A32" s="16" t="s">
        <v>54</v>
      </c>
      <c r="B32" s="17" t="s">
        <v>54</v>
      </c>
      <c r="C32" s="17" t="s">
        <v>54</v>
      </c>
      <c r="D32" s="17" t="s">
        <v>54</v>
      </c>
      <c r="E32" s="17" t="s">
        <v>54</v>
      </c>
      <c r="F32" s="18" t="s">
        <v>54</v>
      </c>
      <c r="G32" s="20" t="s">
        <v>129</v>
      </c>
    </row>
    <row r="33" spans="1:7" x14ac:dyDescent="0.2">
      <c r="A33" s="16" t="s">
        <v>53</v>
      </c>
      <c r="B33" s="17" t="s">
        <v>54</v>
      </c>
      <c r="C33" s="17" t="s">
        <v>54</v>
      </c>
      <c r="D33" s="17" t="s">
        <v>54</v>
      </c>
      <c r="E33" s="17" t="s">
        <v>54</v>
      </c>
      <c r="F33" s="18" t="s">
        <v>54</v>
      </c>
    </row>
    <row r="34" spans="1:7" x14ac:dyDescent="0.2">
      <c r="A34" s="16" t="s">
        <v>53</v>
      </c>
      <c r="B34" s="17" t="s">
        <v>54</v>
      </c>
      <c r="C34" s="17" t="s">
        <v>54</v>
      </c>
      <c r="D34" s="17" t="s">
        <v>54</v>
      </c>
      <c r="E34" s="17" t="s">
        <v>54</v>
      </c>
      <c r="F34" s="18" t="s">
        <v>54</v>
      </c>
    </row>
    <row r="35" spans="1:7" x14ac:dyDescent="0.2">
      <c r="A35" s="16" t="s">
        <v>54</v>
      </c>
      <c r="B35" s="17" t="s">
        <v>53</v>
      </c>
      <c r="C35" s="17" t="s">
        <v>54</v>
      </c>
      <c r="D35" s="17" t="s">
        <v>54</v>
      </c>
      <c r="E35" s="17" t="s">
        <v>54</v>
      </c>
      <c r="F35" s="18" t="s">
        <v>54</v>
      </c>
    </row>
    <row r="36" spans="1:7" x14ac:dyDescent="0.2">
      <c r="A36" s="25" t="s">
        <v>53</v>
      </c>
      <c r="B36" s="26" t="s">
        <v>53</v>
      </c>
      <c r="C36" s="26" t="s">
        <v>54</v>
      </c>
      <c r="D36" s="26" t="s">
        <v>54</v>
      </c>
      <c r="E36" s="26" t="s">
        <v>54</v>
      </c>
      <c r="F36" s="27" t="s">
        <v>54</v>
      </c>
      <c r="G36" s="26" t="s">
        <v>126</v>
      </c>
    </row>
    <row r="37" spans="1:7" x14ac:dyDescent="0.2">
      <c r="A37" s="16" t="s">
        <v>54</v>
      </c>
      <c r="B37" s="17" t="s">
        <v>54</v>
      </c>
      <c r="C37" s="17" t="s">
        <v>54</v>
      </c>
      <c r="D37" s="17" t="s">
        <v>54</v>
      </c>
      <c r="E37" s="17" t="s">
        <v>54</v>
      </c>
      <c r="F37" s="18" t="s">
        <v>53</v>
      </c>
    </row>
    <row r="38" spans="1:7" x14ac:dyDescent="0.2">
      <c r="A38" s="30" t="s">
        <v>54</v>
      </c>
      <c r="B38" s="31" t="s">
        <v>54</v>
      </c>
      <c r="C38" s="31" t="s">
        <v>54</v>
      </c>
      <c r="D38" s="31" t="s">
        <v>54</v>
      </c>
      <c r="E38" s="31" t="s">
        <v>54</v>
      </c>
      <c r="F38" s="32" t="s">
        <v>54</v>
      </c>
    </row>
    <row r="39" spans="1:7" x14ac:dyDescent="0.2">
      <c r="A39" s="16" t="s">
        <v>54</v>
      </c>
      <c r="B39" s="17" t="s">
        <v>54</v>
      </c>
      <c r="C39" s="17" t="s">
        <v>54</v>
      </c>
      <c r="D39" s="17" t="s">
        <v>54</v>
      </c>
      <c r="E39" s="17" t="s">
        <v>53</v>
      </c>
      <c r="F39" s="18" t="s">
        <v>54</v>
      </c>
    </row>
    <row r="40" spans="1:7" x14ac:dyDescent="0.2">
      <c r="A40" s="16" t="s">
        <v>54</v>
      </c>
      <c r="B40" s="17" t="s">
        <v>54</v>
      </c>
      <c r="C40" s="17" t="s">
        <v>54</v>
      </c>
      <c r="D40" s="17" t="s">
        <v>53</v>
      </c>
      <c r="E40" s="17" t="s">
        <v>54</v>
      </c>
      <c r="F40" s="18" t="s">
        <v>54</v>
      </c>
    </row>
    <row r="41" spans="1:7" x14ac:dyDescent="0.2">
      <c r="A41" s="16" t="s">
        <v>54</v>
      </c>
      <c r="B41" s="17" t="s">
        <v>53</v>
      </c>
      <c r="C41" s="17" t="s">
        <v>54</v>
      </c>
      <c r="D41" s="17" t="s">
        <v>54</v>
      </c>
      <c r="E41" s="17" t="s">
        <v>54</v>
      </c>
      <c r="F41" s="18" t="s">
        <v>54</v>
      </c>
    </row>
    <row r="42" spans="1:7" x14ac:dyDescent="0.2">
      <c r="A42" s="19" t="s">
        <v>54</v>
      </c>
      <c r="B42" s="20" t="s">
        <v>54</v>
      </c>
      <c r="C42" s="20" t="s">
        <v>54</v>
      </c>
      <c r="D42" s="20" t="s">
        <v>54</v>
      </c>
      <c r="E42" s="20" t="s">
        <v>54</v>
      </c>
      <c r="F42" s="21" t="s">
        <v>54</v>
      </c>
    </row>
    <row r="43" spans="1:7" x14ac:dyDescent="0.2">
      <c r="A43" s="16" t="s">
        <v>53</v>
      </c>
      <c r="B43" s="17" t="s">
        <v>54</v>
      </c>
      <c r="C43" s="17" t="s">
        <v>54</v>
      </c>
      <c r="D43" s="17" t="s">
        <v>54</v>
      </c>
      <c r="E43" s="17" t="s">
        <v>54</v>
      </c>
      <c r="F43" s="18" t="s">
        <v>54</v>
      </c>
    </row>
    <row r="44" spans="1:7" x14ac:dyDescent="0.2">
      <c r="A44" s="16" t="s">
        <v>54</v>
      </c>
      <c r="B44" s="17" t="s">
        <v>54</v>
      </c>
      <c r="C44" s="17" t="s">
        <v>54</v>
      </c>
      <c r="D44" s="17" t="s">
        <v>53</v>
      </c>
      <c r="E44" s="17" t="s">
        <v>54</v>
      </c>
      <c r="F44" s="18" t="s">
        <v>54</v>
      </c>
    </row>
    <row r="45" spans="1:7" x14ac:dyDescent="0.2">
      <c r="A45" s="25" t="s">
        <v>53</v>
      </c>
      <c r="B45" s="26" t="s">
        <v>53</v>
      </c>
      <c r="C45" s="26" t="s">
        <v>54</v>
      </c>
      <c r="D45" s="26" t="s">
        <v>54</v>
      </c>
      <c r="E45" s="26" t="s">
        <v>54</v>
      </c>
      <c r="F45" s="27" t="s">
        <v>54</v>
      </c>
      <c r="G45" s="26" t="s">
        <v>126</v>
      </c>
    </row>
    <row r="46" spans="1:7" x14ac:dyDescent="0.2">
      <c r="A46" s="16" t="s">
        <v>53</v>
      </c>
      <c r="B46" s="17" t="s">
        <v>54</v>
      </c>
      <c r="C46" s="17" t="s">
        <v>54</v>
      </c>
      <c r="D46" s="17" t="s">
        <v>54</v>
      </c>
      <c r="E46" s="17" t="s">
        <v>54</v>
      </c>
      <c r="F46" s="18" t="s">
        <v>54</v>
      </c>
    </row>
    <row r="47" spans="1:7" x14ac:dyDescent="0.2">
      <c r="A47" s="25" t="s">
        <v>53</v>
      </c>
      <c r="B47" s="26" t="s">
        <v>53</v>
      </c>
      <c r="C47" s="26" t="s">
        <v>54</v>
      </c>
      <c r="D47" s="26" t="s">
        <v>54</v>
      </c>
      <c r="E47" s="26" t="s">
        <v>54</v>
      </c>
      <c r="F47" s="27" t="s">
        <v>54</v>
      </c>
      <c r="G47" s="26" t="s">
        <v>126</v>
      </c>
    </row>
    <row r="48" spans="1:7" ht="16" thickBot="1" x14ac:dyDescent="0.25">
      <c r="A48" s="22" t="s">
        <v>53</v>
      </c>
      <c r="B48" s="23" t="s">
        <v>54</v>
      </c>
      <c r="C48" s="23" t="s">
        <v>54</v>
      </c>
      <c r="D48" s="23" t="s">
        <v>54</v>
      </c>
      <c r="E48" s="23" t="s">
        <v>54</v>
      </c>
      <c r="F48" s="24" t="s">
        <v>54</v>
      </c>
    </row>
    <row r="49" spans="1:6" x14ac:dyDescent="0.2">
      <c r="A49">
        <f>COUNTIF(A19:A48,A19)</f>
        <v>12</v>
      </c>
      <c r="B49">
        <f>COUNTIF(B19:B48,B23)</f>
        <v>8</v>
      </c>
      <c r="C49">
        <f>COUNTIF(C19:C48,C21)</f>
        <v>1</v>
      </c>
      <c r="D49">
        <f>COUNTIF(D19:D48,D44)</f>
        <v>2</v>
      </c>
      <c r="E49">
        <f>COUNTIF(E19:E48,E27)</f>
        <v>3</v>
      </c>
      <c r="F49">
        <f>COUNTIF(F19:F48,F37)</f>
        <v>1</v>
      </c>
    </row>
    <row r="52" spans="1:6" ht="16" x14ac:dyDescent="0.2">
      <c r="A52" s="28" t="s">
        <v>109</v>
      </c>
      <c r="B52" s="29">
        <v>12</v>
      </c>
    </row>
    <row r="53" spans="1:6" ht="16" x14ac:dyDescent="0.2">
      <c r="A53" s="28" t="s">
        <v>85</v>
      </c>
      <c r="B53" s="29">
        <v>8</v>
      </c>
    </row>
    <row r="54" spans="1:6" ht="16" x14ac:dyDescent="0.2">
      <c r="A54" s="28" t="s">
        <v>110</v>
      </c>
      <c r="B54" s="29">
        <v>1</v>
      </c>
    </row>
    <row r="55" spans="1:6" ht="32" x14ac:dyDescent="0.2">
      <c r="A55" s="28" t="s">
        <v>111</v>
      </c>
      <c r="B55" s="29">
        <v>2</v>
      </c>
    </row>
    <row r="56" spans="1:6" ht="16" x14ac:dyDescent="0.2">
      <c r="A56" s="28" t="s">
        <v>116</v>
      </c>
      <c r="B56" s="29">
        <v>3</v>
      </c>
    </row>
    <row r="57" spans="1:6" ht="16" x14ac:dyDescent="0.2">
      <c r="A57" s="28" t="s">
        <v>117</v>
      </c>
      <c r="B57" s="29">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Groups_recordings</vt:lpstr>
      <vt:lpstr>Overview collars and glitches</vt:lpstr>
      <vt:lpstr>Groups_recordings!_FilterDatabase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2023-11-23T12:08:38Z</dcterms:modified>
</cp:coreProperties>
</file>