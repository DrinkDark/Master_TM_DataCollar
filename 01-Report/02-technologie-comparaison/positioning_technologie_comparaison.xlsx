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\Master_TM_DataCollar\01-Report\"/>
    </mc:Choice>
  </mc:AlternateContent>
  <xr:revisionPtr revIDLastSave="0" documentId="13_ncr:1_{FF8EBEFB-01FB-441E-91F1-4E789BA0B47E}" xr6:coauthVersionLast="47" xr6:coauthVersionMax="47" xr10:uidLastSave="{00000000-0000-0000-0000-000000000000}"/>
  <bookViews>
    <workbookView xWindow="-110" yWindow="-110" windowWidth="19420" windowHeight="10300" xr2:uid="{FEB3E011-CB33-4D87-ACDA-F9FF512408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6" i="1"/>
  <c r="K7" i="1"/>
  <c r="K8" i="1"/>
  <c r="K9" i="1"/>
  <c r="K10" i="1"/>
  <c r="K11" i="1"/>
  <c r="K12" i="1"/>
  <c r="K14" i="1"/>
  <c r="K15" i="1"/>
</calcChain>
</file>

<file path=xl/sharedStrings.xml><?xml version="1.0" encoding="utf-8"?>
<sst xmlns="http://schemas.openxmlformats.org/spreadsheetml/2006/main" count="34" uniqueCount="33">
  <si>
    <t>Location technologie comparaison</t>
  </si>
  <si>
    <t>Technologie</t>
  </si>
  <si>
    <t>1
Location accuracy</t>
  </si>
  <si>
    <t>4
Cost</t>
  </si>
  <si>
    <t>GNSS</t>
  </si>
  <si>
    <t>Argos satellite system</t>
  </si>
  <si>
    <t>Geolocation by light</t>
  </si>
  <si>
    <t>LoRaWAN</t>
  </si>
  <si>
    <t>Radio telemetry</t>
  </si>
  <si>
    <t>RFID</t>
  </si>
  <si>
    <t>Biologgers with dead reckoning</t>
  </si>
  <si>
    <t>BLE</t>
  </si>
  <si>
    <t>WiFi</t>
  </si>
  <si>
    <t>UWB</t>
  </si>
  <si>
    <t>Score</t>
  </si>
  <si>
    <t>2
Power consumption</t>
  </si>
  <si>
    <r>
      <t>5 = Excellent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4 = Good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3 = Moderate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 = Weak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 = Poor</t>
    </r>
  </si>
  <si>
    <t>7
Robustness and environmental resistance</t>
  </si>
  <si>
    <t>8
Data storage and processing capacity</t>
  </si>
  <si>
    <t>6
Interaction detection capability
(5 = yes, 1 = no)</t>
  </si>
  <si>
    <t xml:space="preserve">9
Requires new hardware to function
(5 = no, 1 = yes) </t>
  </si>
  <si>
    <t>5
Infrastructure requirements</t>
  </si>
  <si>
    <t>Weighting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</si>
  <si>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</si>
  <si>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</si>
  <si>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</si>
  <si>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</si>
  <si>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</si>
  <si>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</si>
  <si>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</si>
  <si>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</si>
  <si>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</si>
  <si>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3
Weight and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</si>
</sst>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0" xfId="0" applyFont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4" xfId="0" applyBorder="1" applyAlignment="1">
      <alignment horizontal="right" wrapText="1"/>
    </xf>
    <xf numFmtId="164" fontId="1" fillId="0" borderId="7" xfId="0" applyNumberFormat="1" applyFont="1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5" xfId="0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06DBDC-CD0E-4D1E-AE0F-8150F314A190}" name="Tableau2" displayName="Tableau2" ref="A5:K15" totalsRowShown="0" headerRowDxfId="13" dataDxfId="12" tableBorderDxfId="11">
  <autoFilter ref="A5:K15" xr:uid="{1C06DBDC-CD0E-4D1E-AE0F-8150F314A190}"/>
  <tableColumns count="11">
    <tableColumn id="1" xr3:uid="{CD15DCF3-7B4B-4E61-AFBB-01AD21883EE5}" name="Technologie" dataDxfId="10"/>
    <tableColumn id="2" xr3:uid="{A9C12C49-5351-45BA-831B-B64A6CDB1F89}" name="1" dataDxfId="9"/>
    <tableColumn id="3" xr3:uid="{CFB542A5-4DB2-4A12-A7F9-418439730971}" name="2" dataDxfId="8"/>
    <tableColumn id="4" xr3:uid="{8C769F79-9F5B-4C6B-ADA2-E9CA2364E31F}" name="3" dataDxfId="7"/>
    <tableColumn id="5" xr3:uid="{EEA6D3D7-5EBA-42EC-8606-FFC605D0411E}" name="4" dataDxfId="6"/>
    <tableColumn id="6" xr3:uid="{76DADE90-A276-43C2-9454-CC18D9876A0C}" name="5" dataDxfId="5"/>
    <tableColumn id="7" xr3:uid="{B2525A70-74A3-49B2-9824-82F98646A690}" name="6" dataDxfId="4"/>
    <tableColumn id="8" xr3:uid="{4D97E6F0-FA75-43CA-88A1-D1DB9B06227D}" name="7" dataDxfId="3"/>
    <tableColumn id="9" xr3:uid="{7331A0A6-BA86-45AC-BCD5-B91D25C07477}" name="8" dataDxfId="2"/>
    <tableColumn id="10" xr3:uid="{10370FA1-2710-440C-8C13-5B4A9426D2F4}" name="9" dataDxfId="1"/>
    <tableColumn id="11" xr3:uid="{2168EE50-D97D-4BE0-BC65-BEA1E6AFABEC}" name="Score" dataDxfId="0">
      <calculatedColumnFormula>(SUM(B6*$B$4,C6*$C$4,D6*$D$4,E6*$E$4,F6*$F$4,G6*$G$4,H6*$H$4,I6*$I$4,J6*$J$4)/SUM($B$4:$J$4))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140A-E669-48E8-8F17-C835211BE0D8}">
  <dimension ref="A1:K16"/>
  <sheetViews>
    <sheetView tabSelected="1" zoomScale="70" zoomScaleNormal="70" workbookViewId="0">
      <selection activeCell="I19" sqref="I19"/>
    </sheetView>
  </sheetViews>
  <sheetFormatPr baseColWidth="10" defaultRowHeight="14.5" x14ac:dyDescent="0.35"/>
  <cols>
    <col min="1" max="1" width="25.7265625" customWidth="1"/>
    <col min="2" max="10" width="22" customWidth="1"/>
    <col min="11" max="11" width="11.453125" customWidth="1"/>
  </cols>
  <sheetData>
    <row r="1" spans="1:11" ht="18.5" x14ac:dyDescent="0.45">
      <c r="A1" s="1" t="s">
        <v>0</v>
      </c>
    </row>
    <row r="2" spans="1:11" ht="15" thickBot="1" x14ac:dyDescent="0.4"/>
    <row r="3" spans="1:11" ht="95" customHeight="1" x14ac:dyDescent="0.35">
      <c r="A3" s="4"/>
      <c r="B3" s="5" t="s">
        <v>2</v>
      </c>
      <c r="C3" s="5" t="s">
        <v>15</v>
      </c>
      <c r="D3" s="5" t="s">
        <v>32</v>
      </c>
      <c r="E3" s="5" t="s">
        <v>3</v>
      </c>
      <c r="F3" s="5" t="s">
        <v>21</v>
      </c>
      <c r="G3" s="5" t="s">
        <v>19</v>
      </c>
      <c r="H3" s="5" t="s">
        <v>17</v>
      </c>
      <c r="I3" s="5" t="s">
        <v>18</v>
      </c>
      <c r="J3" s="3" t="s">
        <v>20</v>
      </c>
      <c r="K3" s="19" t="s">
        <v>14</v>
      </c>
    </row>
    <row r="4" spans="1:11" ht="15.5" customHeight="1" thickBot="1" x14ac:dyDescent="0.4">
      <c r="A4" s="9" t="s">
        <v>22</v>
      </c>
      <c r="B4" s="10">
        <v>3</v>
      </c>
      <c r="C4" s="10">
        <v>5</v>
      </c>
      <c r="D4" s="10">
        <v>5</v>
      </c>
      <c r="E4" s="10">
        <v>3</v>
      </c>
      <c r="F4" s="10">
        <v>3</v>
      </c>
      <c r="G4" s="10">
        <v>3</v>
      </c>
      <c r="H4" s="10">
        <v>2</v>
      </c>
      <c r="I4" s="10">
        <v>2</v>
      </c>
      <c r="J4" s="11">
        <v>4</v>
      </c>
      <c r="K4" s="20"/>
    </row>
    <row r="5" spans="1:11" ht="15.5" customHeight="1" thickBot="1" x14ac:dyDescent="0.4">
      <c r="A5" s="12" t="s">
        <v>1</v>
      </c>
      <c r="B5" s="2" t="s">
        <v>23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8" t="s">
        <v>30</v>
      </c>
      <c r="J5" s="8" t="s">
        <v>31</v>
      </c>
      <c r="K5" s="15" t="s">
        <v>14</v>
      </c>
    </row>
    <row r="6" spans="1:11" x14ac:dyDescent="0.35">
      <c r="A6" s="12" t="s">
        <v>4</v>
      </c>
      <c r="B6" s="21">
        <v>5</v>
      </c>
      <c r="C6" s="8">
        <v>2</v>
      </c>
      <c r="D6" s="8">
        <v>3</v>
      </c>
      <c r="E6" s="8">
        <v>3</v>
      </c>
      <c r="F6" s="8">
        <v>5</v>
      </c>
      <c r="G6" s="8">
        <v>1</v>
      </c>
      <c r="H6" s="8">
        <v>5</v>
      </c>
      <c r="I6" s="8">
        <v>2</v>
      </c>
      <c r="J6" s="8">
        <v>1</v>
      </c>
      <c r="K6" s="15">
        <f>(SUM(B6*$B$4,C6*$C$4,D6*$D$4,E6*$E$4,F6*$F$4,G6*$G$4,H6*$H$4,I6*$I$4,J6*$J$4)/SUM($B$4:$J$4))</f>
        <v>2.8333333333333335</v>
      </c>
    </row>
    <row r="7" spans="1:11" x14ac:dyDescent="0.35">
      <c r="A7" s="13" t="s">
        <v>5</v>
      </c>
      <c r="B7" s="6">
        <v>4</v>
      </c>
      <c r="C7" s="6">
        <v>3</v>
      </c>
      <c r="D7" s="6">
        <v>4</v>
      </c>
      <c r="E7" s="6">
        <v>2</v>
      </c>
      <c r="F7" s="6">
        <v>5</v>
      </c>
      <c r="G7" s="6">
        <v>1</v>
      </c>
      <c r="H7" s="6">
        <v>5</v>
      </c>
      <c r="I7" s="6">
        <v>5</v>
      </c>
      <c r="J7" s="6">
        <v>1</v>
      </c>
      <c r="K7" s="15">
        <f>(SUM(B7*$B$4,C7*$C$4,D7*$D$4,E7*$E$4,F7*$F$4,G7*$G$4,H7*$H$4,I7*$I$4,J7*$J$4)/SUM($B$4:$J$4))</f>
        <v>3.1666666666666665</v>
      </c>
    </row>
    <row r="8" spans="1:11" x14ac:dyDescent="0.35">
      <c r="A8" s="13" t="s">
        <v>6</v>
      </c>
      <c r="B8" s="6">
        <v>1</v>
      </c>
      <c r="C8" s="6">
        <v>5</v>
      </c>
      <c r="D8" s="6">
        <v>5</v>
      </c>
      <c r="E8" s="6">
        <v>5</v>
      </c>
      <c r="F8" s="6">
        <v>5</v>
      </c>
      <c r="G8" s="6">
        <v>1</v>
      </c>
      <c r="H8" s="6">
        <v>3</v>
      </c>
      <c r="I8" s="6">
        <v>5</v>
      </c>
      <c r="J8" s="6">
        <v>1</v>
      </c>
      <c r="K8" s="15">
        <f>(SUM(B8*$B$4,C8*$C$4,D8*$D$4,E8*$E$4,F8*$F$4,G8*$G$4,H8*$H$4,I8*$I$4,J8*$J$4)/SUM($B$4:$J$4))</f>
        <v>3.5333333333333332</v>
      </c>
    </row>
    <row r="9" spans="1:11" x14ac:dyDescent="0.35">
      <c r="A9" s="13" t="s">
        <v>7</v>
      </c>
      <c r="B9" s="6">
        <v>3</v>
      </c>
      <c r="C9" s="6">
        <v>4</v>
      </c>
      <c r="D9" s="6">
        <v>4</v>
      </c>
      <c r="E9" s="6">
        <v>4</v>
      </c>
      <c r="F9" s="6">
        <v>3</v>
      </c>
      <c r="G9" s="6">
        <v>1</v>
      </c>
      <c r="H9" s="6">
        <v>4</v>
      </c>
      <c r="I9" s="6">
        <v>5</v>
      </c>
      <c r="J9" s="6">
        <v>1</v>
      </c>
      <c r="K9" s="15">
        <f>(SUM(B9*$B$4,C9*$C$4,D9*$D$4,E9*$E$4,F9*$F$4,G9*$G$4,H9*$H$4,I9*$I$4,J9*$J$4)/SUM($B$4:$J$4))</f>
        <v>3.1666666666666665</v>
      </c>
    </row>
    <row r="10" spans="1:11" ht="15.5" customHeight="1" x14ac:dyDescent="0.35">
      <c r="A10" s="13" t="s">
        <v>8</v>
      </c>
      <c r="B10" s="6">
        <v>3</v>
      </c>
      <c r="C10" s="6">
        <v>3</v>
      </c>
      <c r="D10" s="6">
        <v>4</v>
      </c>
      <c r="E10" s="6">
        <v>3</v>
      </c>
      <c r="F10" s="6">
        <v>1</v>
      </c>
      <c r="G10" s="6">
        <v>1</v>
      </c>
      <c r="H10" s="6">
        <v>5</v>
      </c>
      <c r="I10" s="6">
        <v>5</v>
      </c>
      <c r="J10" s="6">
        <v>1</v>
      </c>
      <c r="K10" s="15">
        <f>(SUM(B10*$B$4,C10*$C$4,D10*$D$4,E10*$E$4,F10*$F$4,G10*$G$4,H10*$H$4,I10*$I$4,J10*$J$4)/SUM($B$4:$J$4))</f>
        <v>2.7666666666666666</v>
      </c>
    </row>
    <row r="11" spans="1:11" ht="15.5" customHeight="1" x14ac:dyDescent="0.35">
      <c r="A11" s="13" t="s">
        <v>9</v>
      </c>
      <c r="B11" s="6">
        <v>1</v>
      </c>
      <c r="C11" s="6">
        <v>5</v>
      </c>
      <c r="D11" s="6">
        <v>5</v>
      </c>
      <c r="E11" s="6">
        <v>4</v>
      </c>
      <c r="F11" s="6">
        <v>3</v>
      </c>
      <c r="G11" s="6">
        <v>1</v>
      </c>
      <c r="H11" s="6">
        <v>4</v>
      </c>
      <c r="I11" s="6">
        <v>3</v>
      </c>
      <c r="J11" s="6">
        <v>5</v>
      </c>
      <c r="K11" s="15">
        <f>(SUM(B11*$B$4,C11*$C$4,D11*$D$4,E11*$E$4,F11*$F$4,G11*$G$4,H11*$H$4,I11*$I$4,J11*$J$4)/SUM($B$4:$J$4))</f>
        <v>3.7</v>
      </c>
    </row>
    <row r="12" spans="1:11" x14ac:dyDescent="0.35">
      <c r="A12" s="14" t="s">
        <v>10</v>
      </c>
      <c r="B12" s="6">
        <v>4</v>
      </c>
      <c r="C12" s="6">
        <v>3</v>
      </c>
      <c r="D12" s="6">
        <v>3</v>
      </c>
      <c r="E12" s="6">
        <v>2</v>
      </c>
      <c r="F12" s="6">
        <v>5</v>
      </c>
      <c r="G12" s="6">
        <v>1</v>
      </c>
      <c r="H12" s="6">
        <v>4</v>
      </c>
      <c r="I12" s="6">
        <v>3</v>
      </c>
      <c r="J12" s="6">
        <v>1</v>
      </c>
      <c r="K12" s="15">
        <f>(SUM(B12*$B$4,C12*$C$4,D12*$D$4,E12*$E$4,F12*$F$4,G12*$G$4,H12*$H$4,I12*$I$4,J12*$J$4)/SUM($B$4:$J$4))</f>
        <v>2.8</v>
      </c>
    </row>
    <row r="13" spans="1:11" x14ac:dyDescent="0.35">
      <c r="A13" s="13" t="s">
        <v>11</v>
      </c>
      <c r="B13" s="6">
        <v>3</v>
      </c>
      <c r="C13" s="6">
        <v>5</v>
      </c>
      <c r="D13" s="6">
        <v>5</v>
      </c>
      <c r="E13" s="6">
        <v>4</v>
      </c>
      <c r="F13" s="6">
        <v>3</v>
      </c>
      <c r="G13" s="6">
        <v>5</v>
      </c>
      <c r="H13" s="6">
        <v>3</v>
      </c>
      <c r="I13" s="6">
        <v>3</v>
      </c>
      <c r="J13" s="6">
        <v>5</v>
      </c>
      <c r="K13" s="15">
        <f>(SUM(B13*$B$4,C13*$C$4,D13*$D$4,E13*$E$4,F13*$F$4,G13*$G$4,H13*$H$4,I13*$I$4,J13*$J$4)/SUM($B$4:$J$4))</f>
        <v>4.2333333333333334</v>
      </c>
    </row>
    <row r="14" spans="1:11" x14ac:dyDescent="0.35">
      <c r="A14" s="13" t="s">
        <v>12</v>
      </c>
      <c r="B14" s="6">
        <v>4</v>
      </c>
      <c r="C14" s="6">
        <v>2</v>
      </c>
      <c r="D14" s="6">
        <v>3</v>
      </c>
      <c r="E14" s="6">
        <v>4</v>
      </c>
      <c r="F14" s="6">
        <v>2</v>
      </c>
      <c r="G14" s="6">
        <v>1</v>
      </c>
      <c r="H14" s="6">
        <v>3</v>
      </c>
      <c r="I14" s="6">
        <v>3</v>
      </c>
      <c r="J14" s="6">
        <v>1</v>
      </c>
      <c r="K14" s="15">
        <f>(SUM(B14*$B$4,C14*$C$4,D14*$D$4,E14*$E$4,F14*$F$4,G14*$G$4,H14*$H$4,I14*$I$4,J14*$J$4)/SUM($B$4:$J$4))</f>
        <v>2.4666666666666668</v>
      </c>
    </row>
    <row r="15" spans="1:11" x14ac:dyDescent="0.35">
      <c r="A15" s="16" t="s">
        <v>13</v>
      </c>
      <c r="B15" s="17">
        <v>4</v>
      </c>
      <c r="C15" s="17">
        <v>3</v>
      </c>
      <c r="D15" s="17">
        <v>4</v>
      </c>
      <c r="E15" s="17">
        <v>3</v>
      </c>
      <c r="F15" s="17">
        <v>3</v>
      </c>
      <c r="G15" s="17">
        <v>5</v>
      </c>
      <c r="H15" s="17">
        <v>3</v>
      </c>
      <c r="I15" s="17">
        <v>3</v>
      </c>
      <c r="J15" s="17">
        <v>1</v>
      </c>
      <c r="K15" s="18">
        <f>(SUM(B15*$B$4,C15*$C$4,D15*$D$4,E15*$E$4,F15*$F$4,G15*$G$4,H15*$H$4,I15*$I$4,J15*$J$4)/SUM($B$4:$J$4))</f>
        <v>3.2</v>
      </c>
    </row>
    <row r="16" spans="1:11" x14ac:dyDescent="0.35">
      <c r="B16" s="7" t="s">
        <v>16</v>
      </c>
    </row>
  </sheetData>
  <mergeCells count="1">
    <mergeCell ref="K3:K4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Adrien</dc:creator>
  <cp:lastModifiedBy>Rey Adrien</cp:lastModifiedBy>
  <dcterms:created xsi:type="dcterms:W3CDTF">2025-10-27T08:13:24Z</dcterms:created>
  <dcterms:modified xsi:type="dcterms:W3CDTF">2025-10-28T06:56:40Z</dcterms:modified>
</cp:coreProperties>
</file>