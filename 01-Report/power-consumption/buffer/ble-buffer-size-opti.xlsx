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\Master_TM_DataCollar\01-Report\power-consumption\buffer\"/>
    </mc:Choice>
  </mc:AlternateContent>
  <xr:revisionPtr revIDLastSave="0" documentId="13_ncr:1_{D0253979-9B3A-40BA-982C-F1A695E8DCFA}" xr6:coauthVersionLast="47" xr6:coauthVersionMax="47" xr10:uidLastSave="{00000000-0000-0000-0000-000000000000}"/>
  <bookViews>
    <workbookView xWindow="28695" yWindow="0" windowWidth="14610" windowHeight="15585" xr2:uid="{566387A8-00EE-493C-A557-536EEF06D53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  <c r="G4" i="1"/>
  <c r="G5" i="1"/>
  <c r="G6" i="1"/>
  <c r="G7" i="1"/>
  <c r="G8" i="1"/>
  <c r="C8" i="1"/>
  <c r="B8" i="1"/>
  <c r="C4" i="1"/>
  <c r="C5" i="1"/>
  <c r="C6" i="1"/>
  <c r="C7" i="1"/>
  <c r="B4" i="1"/>
  <c r="B5" i="1"/>
  <c r="B6" i="1"/>
  <c r="B7" i="1"/>
</calcChain>
</file>

<file path=xl/sharedStrings.xml><?xml version="1.0" encoding="utf-8"?>
<sst xmlns="http://schemas.openxmlformats.org/spreadsheetml/2006/main" count="11" uniqueCount="11">
  <si>
    <t>Max device 
per scan</t>
  </si>
  <si>
    <t>Buffer capacity
[devices]</t>
  </si>
  <si>
    <t>Scan 
interval [s]</t>
  </si>
  <si>
    <t>Time
to write [s]</t>
  </si>
  <si>
    <t>Efficiency
[mC/kB]</t>
  </si>
  <si>
    <t>Average
current [mA]</t>
  </si>
  <si>
    <t>Time 
[ms]</t>
  </si>
  <si>
    <t>Charge
[mC]</t>
  </si>
  <si>
    <t>Buffer
size [kB]</t>
  </si>
  <si>
    <t>Average
current [uA]</t>
  </si>
  <si>
    <t>BLE buffer size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</si>
</sst>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6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D49A-D78C-451B-8422-37AF2F3A2E2F}">
  <dimension ref="A1:H16"/>
  <sheetViews>
    <sheetView tabSelected="1" workbookViewId="0">
      <selection activeCell="C15" sqref="C15"/>
    </sheetView>
  </sheetViews>
  <sheetFormatPr baseColWidth="10" defaultRowHeight="14.5" x14ac:dyDescent="0.35"/>
  <cols>
    <col min="1" max="2" width="14.453125" customWidth="1"/>
    <col min="5" max="5" width="11.81640625" customWidth="1"/>
  </cols>
  <sheetData>
    <row r="1" spans="1:8" ht="21" x14ac:dyDescent="0.5">
      <c r="A1" s="7" t="s">
        <v>10</v>
      </c>
    </row>
    <row r="3" spans="1:8" ht="43.5" x14ac:dyDescent="0.35">
      <c r="A3" s="2" t="s">
        <v>1</v>
      </c>
      <c r="B3" s="2" t="s">
        <v>8</v>
      </c>
      <c r="C3" s="2" t="s">
        <v>3</v>
      </c>
      <c r="D3" s="2" t="s">
        <v>5</v>
      </c>
      <c r="E3" s="2" t="s">
        <v>6</v>
      </c>
      <c r="F3" s="2" t="s">
        <v>7</v>
      </c>
      <c r="G3" s="2" t="s">
        <v>4</v>
      </c>
      <c r="H3" s="2" t="s">
        <v>9</v>
      </c>
    </row>
    <row r="4" spans="1:8" x14ac:dyDescent="0.35">
      <c r="A4" s="1">
        <v>128</v>
      </c>
      <c r="B4" s="5">
        <f t="shared" ref="B4:B8" si="0">A4*15/1000</f>
        <v>1.92</v>
      </c>
      <c r="C4" s="5">
        <f t="shared" ref="C4:C8" si="1">A4/$B$10*$B$11</f>
        <v>120</v>
      </c>
      <c r="D4" s="5">
        <v>15.13</v>
      </c>
      <c r="E4" s="5">
        <v>20.32</v>
      </c>
      <c r="F4" s="5">
        <v>0.35</v>
      </c>
      <c r="G4" s="6">
        <f t="shared" ref="G4:G5" si="2">F4/E4</f>
        <v>1.7224409448818895E-2</v>
      </c>
      <c r="H4" s="5">
        <f>E4/(C4*1000)*D4*1000</f>
        <v>2.5620133333333337</v>
      </c>
    </row>
    <row r="5" spans="1:8" x14ac:dyDescent="0.35">
      <c r="A5" s="1">
        <v>256</v>
      </c>
      <c r="B5" s="5">
        <f t="shared" si="0"/>
        <v>3.84</v>
      </c>
      <c r="C5" s="5">
        <f t="shared" si="1"/>
        <v>240</v>
      </c>
      <c r="D5" s="5">
        <v>16.260000000000002</v>
      </c>
      <c r="E5" s="5">
        <v>25.2</v>
      </c>
      <c r="F5" s="5">
        <v>0.41</v>
      </c>
      <c r="G5" s="6">
        <f t="shared" si="2"/>
        <v>1.6269841269841271E-2</v>
      </c>
      <c r="H5" s="5">
        <f t="shared" ref="H5:H8" si="3">E5/(C5*1000)*D5*1000</f>
        <v>1.7072999999999998</v>
      </c>
    </row>
    <row r="6" spans="1:8" x14ac:dyDescent="0.35">
      <c r="A6" s="1">
        <v>512</v>
      </c>
      <c r="B6" s="5">
        <f t="shared" si="0"/>
        <v>7.68</v>
      </c>
      <c r="C6" s="5">
        <f t="shared" si="1"/>
        <v>480</v>
      </c>
      <c r="D6" s="5">
        <v>17.11</v>
      </c>
      <c r="E6" s="5">
        <v>37.840000000000003</v>
      </c>
      <c r="F6" s="5">
        <v>0.59</v>
      </c>
      <c r="G6" s="6">
        <f>F6/E6</f>
        <v>1.559196617336152E-2</v>
      </c>
      <c r="H6" s="5">
        <f t="shared" si="3"/>
        <v>1.3488383333333334</v>
      </c>
    </row>
    <row r="7" spans="1:8" x14ac:dyDescent="0.35">
      <c r="A7" s="1">
        <v>1024</v>
      </c>
      <c r="B7" s="5">
        <f t="shared" si="0"/>
        <v>15.36</v>
      </c>
      <c r="C7" s="5">
        <f t="shared" si="1"/>
        <v>960</v>
      </c>
      <c r="D7" s="5">
        <v>19.34</v>
      </c>
      <c r="E7" s="5">
        <v>55.67</v>
      </c>
      <c r="F7" s="5">
        <v>1.08</v>
      </c>
      <c r="G7" s="6">
        <f t="shared" ref="G7:G8" si="4">F7/E7</f>
        <v>1.9400035925992456E-2</v>
      </c>
      <c r="H7" s="5">
        <f t="shared" si="3"/>
        <v>1.1215185416666669</v>
      </c>
    </row>
    <row r="8" spans="1:8" x14ac:dyDescent="0.35">
      <c r="A8" s="1">
        <v>2048</v>
      </c>
      <c r="B8" s="5">
        <f t="shared" si="0"/>
        <v>30.72</v>
      </c>
      <c r="C8" s="5">
        <f t="shared" si="1"/>
        <v>1920</v>
      </c>
      <c r="D8" s="5">
        <v>18.350000000000001</v>
      </c>
      <c r="E8" s="5">
        <v>80.430000000000007</v>
      </c>
      <c r="F8" s="5">
        <v>1.45</v>
      </c>
      <c r="G8" s="6">
        <f t="shared" si="4"/>
        <v>1.8028098968046746E-2</v>
      </c>
      <c r="H8" s="5">
        <f t="shared" si="3"/>
        <v>0.76869296875000015</v>
      </c>
    </row>
    <row r="10" spans="1:8" ht="29" x14ac:dyDescent="0.35">
      <c r="A10" s="2" t="s">
        <v>0</v>
      </c>
      <c r="B10" s="3">
        <v>64</v>
      </c>
    </row>
    <row r="11" spans="1:8" ht="29" x14ac:dyDescent="0.35">
      <c r="A11" s="2" t="s">
        <v>2</v>
      </c>
      <c r="B11" s="3">
        <v>60</v>
      </c>
    </row>
    <row r="16" spans="1:8" x14ac:dyDescent="0.35">
      <c r="C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Adrien</dc:creator>
  <cp:lastModifiedBy>Rey Adrien</cp:lastModifiedBy>
  <dcterms:created xsi:type="dcterms:W3CDTF">2026-01-23T06:59:22Z</dcterms:created>
  <dcterms:modified xsi:type="dcterms:W3CDTF">2026-01-23T08:10:36Z</dcterms:modified>
</cp:coreProperties>
</file>