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\Master_TM_DataCollar\01-Report\mic-parameter\sound-analysis\"/>
    </mc:Choice>
  </mc:AlternateContent>
  <xr:revisionPtr revIDLastSave="0" documentId="13_ncr:1_{14D46B4E-FE50-4AF9-A148-66093B0BBC5F}" xr6:coauthVersionLast="47" xr6:coauthVersionMax="47" xr10:uidLastSave="{00000000-0000-0000-0000-000000000000}"/>
  <bookViews>
    <workbookView xWindow="28680" yWindow="-120" windowWidth="29040" windowHeight="15720" xr2:uid="{DECEEF5B-F140-479F-A32C-E01E8B4ACBC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G10" i="1" s="1"/>
  <c r="E6" i="1"/>
  <c r="E7" i="1"/>
  <c r="E8" i="1"/>
  <c r="E9" i="1"/>
  <c r="E5" i="1"/>
  <c r="E4" i="1"/>
  <c r="B14" i="1"/>
  <c r="F10" i="1" l="1"/>
  <c r="G5" i="1"/>
  <c r="F5" i="1"/>
  <c r="F4" i="1"/>
  <c r="G6" i="1" l="1"/>
  <c r="F6" i="1"/>
  <c r="G7" i="1"/>
  <c r="F7" i="1"/>
  <c r="G8" i="1"/>
  <c r="F8" i="1"/>
  <c r="G9" i="1"/>
  <c r="F9" i="1"/>
  <c r="G4" i="1"/>
</calcChain>
</file>

<file path=xl/sharedStrings.xml><?xml version="1.0" encoding="utf-8"?>
<sst xmlns="http://schemas.openxmlformats.org/spreadsheetml/2006/main" count="28" uniqueCount="27">
  <si>
    <t>Tail timer influence simulation</t>
  </si>
  <si>
    <t>Complex events</t>
  </si>
  <si>
    <t>Short events</t>
  </si>
  <si>
    <t>Min interval [s]</t>
  </si>
  <si>
    <t>Max interval [s]</t>
  </si>
  <si>
    <t>Min duration [s]</t>
  </si>
  <si>
    <t>Max duration [s]</t>
  </si>
  <si>
    <t>Value</t>
  </si>
  <si>
    <t>Parameter</t>
  </si>
  <si>
    <t>Tail value [s]</t>
  </si>
  <si>
    <t>Rec/hour [s]</t>
  </si>
  <si>
    <t>Byte rate [byte/s]</t>
  </si>
  <si>
    <t>Sample rate [Hz]</t>
  </si>
  <si>
    <t>Bit depth</t>
  </si>
  <si>
    <t>Channel</t>
  </si>
  <si>
    <t>Event per complex event</t>
  </si>
  <si>
    <t>Simple events</t>
  </si>
  <si>
    <t>Infinite</t>
  </si>
  <si>
    <t>Test duration [s]</t>
  </si>
  <si>
    <t>Sleep mode current [uA]</t>
  </si>
  <si>
    <t>Saving mode current [uA]</t>
  </si>
  <si>
    <t>I_average [mA]</t>
  </si>
  <si>
    <t>Data [MB]</t>
  </si>
  <si>
    <t xml:space="preserve">* Random distribution in min/max range </t>
  </si>
  <si>
    <t>Duration value* [s]</t>
  </si>
  <si>
    <t>Duration value* 1[s]</t>
  </si>
  <si>
    <t>Interval*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</si>
</sst>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75BB4-7F93-4F7D-9A0E-9951C99B88B3}">
  <dimension ref="A1:L25"/>
  <sheetViews>
    <sheetView tabSelected="1" workbookViewId="0">
      <selection activeCell="G21" sqref="G21"/>
    </sheetView>
  </sheetViews>
  <sheetFormatPr baseColWidth="10" defaultRowHeight="14.5" x14ac:dyDescent="0.35"/>
  <cols>
    <col min="1" max="1" width="27.90625" customWidth="1"/>
    <col min="2" max="2" width="7.90625" customWidth="1"/>
    <col min="6" max="6" width="9.36328125" customWidth="1"/>
    <col min="7" max="7" width="13.36328125" customWidth="1"/>
    <col min="9" max="11" width="18.08984375" customWidth="1"/>
  </cols>
  <sheetData>
    <row r="1" spans="1:12" ht="21" x14ac:dyDescent="0.5">
      <c r="A1" s="1" t="s">
        <v>0</v>
      </c>
    </row>
    <row r="2" spans="1:12" x14ac:dyDescent="0.35">
      <c r="I2" s="5" t="s">
        <v>16</v>
      </c>
      <c r="J2" s="12" t="s">
        <v>1</v>
      </c>
      <c r="K2" s="12"/>
      <c r="L2" s="8"/>
    </row>
    <row r="3" spans="1:12" x14ac:dyDescent="0.35">
      <c r="A3" s="4" t="s">
        <v>8</v>
      </c>
      <c r="B3" s="5" t="s">
        <v>7</v>
      </c>
      <c r="D3" s="9" t="s">
        <v>9</v>
      </c>
      <c r="E3" s="10" t="s">
        <v>10</v>
      </c>
      <c r="F3" s="9" t="s">
        <v>22</v>
      </c>
      <c r="G3" s="11" t="s">
        <v>21</v>
      </c>
      <c r="H3" s="8"/>
      <c r="I3" s="2" t="s">
        <v>24</v>
      </c>
      <c r="J3" s="2" t="s">
        <v>25</v>
      </c>
      <c r="K3" s="2" t="s">
        <v>26</v>
      </c>
    </row>
    <row r="4" spans="1:12" x14ac:dyDescent="0.35">
      <c r="A4" s="3" t="s">
        <v>2</v>
      </c>
      <c r="B4" s="2">
        <v>20</v>
      </c>
      <c r="D4" s="2">
        <v>0</v>
      </c>
      <c r="E4" s="7">
        <f>SUM(I4:I23)+SUM(J4:J15)+SUM(K4:K14)</f>
        <v>46.986987467100988</v>
      </c>
      <c r="F4" s="6">
        <f>E4*$B$14/POWER(10,6)</f>
        <v>1.5035835989472317</v>
      </c>
      <c r="G4" s="6">
        <f>(($B$15*($B$17-E4)+($B$16*E4))/$B$17)/1000</f>
        <v>0.40888161064662132</v>
      </c>
      <c r="I4" s="6">
        <v>1.0722372266205213</v>
      </c>
      <c r="J4" s="6">
        <v>0.5759174844614432</v>
      </c>
      <c r="K4" s="6">
        <v>0.66231151085038098</v>
      </c>
    </row>
    <row r="5" spans="1:12" x14ac:dyDescent="0.35">
      <c r="A5" s="3" t="s">
        <v>1</v>
      </c>
      <c r="B5" s="2">
        <v>2</v>
      </c>
      <c r="D5" s="2">
        <v>5</v>
      </c>
      <c r="E5" s="7">
        <f>$B$4*D5+SUM($J$4:$J$15)+SUM($K$4:$K$15)+D5</f>
        <v>130.8105806975</v>
      </c>
      <c r="F5" s="6">
        <f t="shared" ref="F5:F10" si="0">E5*$B$14/POWER(10,6)</f>
        <v>4.1859385823200004</v>
      </c>
      <c r="G5" s="6">
        <f>(($B$15*($B$17-E5)+($B$16*E5))/$B$17)/1000</f>
        <v>0.44429638025652129</v>
      </c>
      <c r="I5" s="6">
        <v>0.43516708882966182</v>
      </c>
      <c r="J5" s="6">
        <v>1.1749416725524384</v>
      </c>
      <c r="K5" s="6">
        <v>0.46971477047665383</v>
      </c>
    </row>
    <row r="6" spans="1:12" x14ac:dyDescent="0.35">
      <c r="A6" s="3" t="s">
        <v>15</v>
      </c>
      <c r="B6" s="2">
        <v>12</v>
      </c>
      <c r="D6" s="2">
        <v>10</v>
      </c>
      <c r="E6" s="7">
        <f t="shared" ref="E6:E10" si="1">$B$4*D6+SUM($J$4:$J$15)+SUM($K$4:$K$15)+D6</f>
        <v>235.8105806975</v>
      </c>
      <c r="F6" s="6">
        <f t="shared" si="0"/>
        <v>7.5459385823199998</v>
      </c>
      <c r="G6" s="6">
        <f>(($B$15*($B$17-E6)+($B$16*E6))/$B$17)/1000</f>
        <v>0.48865800525652126</v>
      </c>
      <c r="I6" s="6">
        <v>0.68400807891693727</v>
      </c>
      <c r="J6" s="6">
        <v>1.4579570582584074</v>
      </c>
      <c r="K6" s="6">
        <v>0.82222174703724671</v>
      </c>
    </row>
    <row r="7" spans="1:12" x14ac:dyDescent="0.35">
      <c r="A7" s="3" t="s">
        <v>5</v>
      </c>
      <c r="B7" s="2">
        <v>0.35</v>
      </c>
      <c r="D7" s="2">
        <v>30</v>
      </c>
      <c r="E7" s="7">
        <f t="shared" si="1"/>
        <v>655.81058069750009</v>
      </c>
      <c r="F7" s="6">
        <f t="shared" si="0"/>
        <v>20.985938582319999</v>
      </c>
      <c r="G7" s="6">
        <f>(($B$15*($B$17-E7)+($B$16*E7))/$B$17)/1000</f>
        <v>0.66610450525652132</v>
      </c>
      <c r="I7" s="6">
        <v>1.0340525354183039</v>
      </c>
      <c r="J7" s="6">
        <v>1.8401374718382018</v>
      </c>
      <c r="K7" s="6">
        <v>1.4098002706657149</v>
      </c>
    </row>
    <row r="8" spans="1:12" x14ac:dyDescent="0.35">
      <c r="A8" s="3" t="s">
        <v>6</v>
      </c>
      <c r="B8" s="2">
        <v>2</v>
      </c>
      <c r="D8" s="2">
        <v>45</v>
      </c>
      <c r="E8" s="7">
        <f t="shared" si="1"/>
        <v>970.81058069750009</v>
      </c>
      <c r="F8" s="6">
        <f t="shared" si="0"/>
        <v>31.065938582320001</v>
      </c>
      <c r="G8" s="6">
        <f>(($B$15*($B$17-E8)+($B$16*E8))/$B$17)/1000</f>
        <v>0.79918938025652131</v>
      </c>
      <c r="I8" s="6">
        <v>0.4692727667224349</v>
      </c>
      <c r="J8" s="6">
        <v>0.7266206440415468</v>
      </c>
      <c r="K8" s="6">
        <v>0.43359323978651099</v>
      </c>
    </row>
    <row r="9" spans="1:12" x14ac:dyDescent="0.35">
      <c r="A9" s="3" t="s">
        <v>3</v>
      </c>
      <c r="B9" s="2">
        <v>0.8</v>
      </c>
      <c r="D9" s="2">
        <v>60</v>
      </c>
      <c r="E9" s="7">
        <f t="shared" si="1"/>
        <v>1285.8105806975</v>
      </c>
      <c r="F9" s="6">
        <f t="shared" si="0"/>
        <v>41.145938582319999</v>
      </c>
      <c r="G9" s="6">
        <f>(($B$15*($B$17-E9)+($B$16*E9))/$B$17)/1000</f>
        <v>0.93227425525652119</v>
      </c>
      <c r="I9" s="6">
        <v>0.39863173855261874</v>
      </c>
      <c r="J9" s="6">
        <v>1.5424418664409716</v>
      </c>
      <c r="K9" s="6">
        <v>1.2482839125528415</v>
      </c>
    </row>
    <row r="10" spans="1:12" x14ac:dyDescent="0.35">
      <c r="A10" s="3" t="s">
        <v>4</v>
      </c>
      <c r="B10" s="2">
        <v>4.5</v>
      </c>
      <c r="D10" s="2" t="s">
        <v>17</v>
      </c>
      <c r="E10" s="7">
        <f>B17</f>
        <v>3600</v>
      </c>
      <c r="F10" s="6">
        <f t="shared" si="0"/>
        <v>115.2</v>
      </c>
      <c r="G10" s="6">
        <f>(($B$15*($B$17-E10)+($B$16*E10))/$B$17)/1000</f>
        <v>1.91</v>
      </c>
      <c r="I10" s="6">
        <v>1.542924880043826</v>
      </c>
      <c r="J10" s="6">
        <v>1.5936717106485885</v>
      </c>
      <c r="K10" s="6">
        <v>0.67645674374844056</v>
      </c>
    </row>
    <row r="11" spans="1:12" x14ac:dyDescent="0.35">
      <c r="A11" s="3" t="s">
        <v>12</v>
      </c>
      <c r="B11" s="2">
        <v>16000</v>
      </c>
      <c r="I11" s="6">
        <v>1.5232268579831114</v>
      </c>
      <c r="J11" s="6">
        <v>1.7093950040860442</v>
      </c>
      <c r="K11" s="6">
        <v>0.63779390745396025</v>
      </c>
    </row>
    <row r="12" spans="1:12" x14ac:dyDescent="0.35">
      <c r="A12" s="3" t="s">
        <v>13</v>
      </c>
      <c r="B12" s="2">
        <v>16</v>
      </c>
      <c r="I12" s="6">
        <v>0.77321215310604752</v>
      </c>
      <c r="J12" s="6">
        <v>0.56427117582137565</v>
      </c>
      <c r="K12" s="6">
        <v>1.4561278890019502</v>
      </c>
    </row>
    <row r="13" spans="1:12" x14ac:dyDescent="0.35">
      <c r="A13" s="3" t="s">
        <v>14</v>
      </c>
      <c r="B13" s="2">
        <v>1</v>
      </c>
      <c r="I13" s="6">
        <v>1.4260209397558374</v>
      </c>
      <c r="J13" s="6">
        <v>1.4629799204279816</v>
      </c>
      <c r="K13" s="6">
        <v>1.3245117781639633</v>
      </c>
    </row>
    <row r="14" spans="1:12" x14ac:dyDescent="0.35">
      <c r="A14" s="3" t="s">
        <v>11</v>
      </c>
      <c r="B14" s="2">
        <f>(B12*B13*B11)/8</f>
        <v>32000</v>
      </c>
      <c r="I14" s="6">
        <v>0.96073370412887615</v>
      </c>
      <c r="J14" s="6">
        <v>1.2125222202721804</v>
      </c>
      <c r="K14" s="6">
        <v>0.99365266559560073</v>
      </c>
    </row>
    <row r="15" spans="1:12" x14ac:dyDescent="0.35">
      <c r="A15" s="3" t="s">
        <v>19</v>
      </c>
      <c r="B15" s="2">
        <v>389.03</v>
      </c>
      <c r="I15" s="6">
        <v>0.57113130108885479</v>
      </c>
      <c r="J15" s="6">
        <v>1.2652560333175624</v>
      </c>
      <c r="K15" s="6">
        <v>0.55000000000000004</v>
      </c>
    </row>
    <row r="16" spans="1:12" x14ac:dyDescent="0.35">
      <c r="A16" s="3" t="s">
        <v>20</v>
      </c>
      <c r="B16" s="2">
        <v>1910</v>
      </c>
      <c r="I16" s="6">
        <v>1.9560413962556114</v>
      </c>
      <c r="J16" s="6"/>
    </row>
    <row r="17" spans="1:10" x14ac:dyDescent="0.35">
      <c r="A17" s="3" t="s">
        <v>18</v>
      </c>
      <c r="B17" s="2">
        <v>3600</v>
      </c>
      <c r="I17" s="6">
        <v>1.829197025641276</v>
      </c>
      <c r="J17" s="6"/>
    </row>
    <row r="18" spans="1:10" x14ac:dyDescent="0.35">
      <c r="I18" s="6">
        <v>1.3942436424093745</v>
      </c>
      <c r="J18" s="6"/>
    </row>
    <row r="19" spans="1:10" x14ac:dyDescent="0.35">
      <c r="I19" s="6">
        <v>1.6393650287374966</v>
      </c>
      <c r="J19" s="6"/>
    </row>
    <row r="20" spans="1:10" x14ac:dyDescent="0.35">
      <c r="I20" s="6">
        <v>1.3972810398003017</v>
      </c>
      <c r="J20" s="6"/>
    </row>
    <row r="21" spans="1:10" x14ac:dyDescent="0.35">
      <c r="I21" s="6">
        <v>0.37721125250979526</v>
      </c>
      <c r="J21" s="6"/>
    </row>
    <row r="22" spans="1:10" x14ac:dyDescent="0.35">
      <c r="I22" s="6">
        <v>1.5939489021609252</v>
      </c>
      <c r="J22" s="6"/>
    </row>
    <row r="23" spans="1:10" x14ac:dyDescent="0.35">
      <c r="I23" s="6">
        <v>0.64849921091917007</v>
      </c>
      <c r="J23" s="6"/>
    </row>
    <row r="24" spans="1:10" x14ac:dyDescent="0.35">
      <c r="J24" s="6"/>
    </row>
    <row r="25" spans="1:10" x14ac:dyDescent="0.35">
      <c r="I25" s="13" t="s">
        <v>23</v>
      </c>
      <c r="J25" s="6"/>
    </row>
  </sheetData>
  <mergeCells count="1">
    <mergeCell ref="J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 Adrien</dc:creator>
  <cp:lastModifiedBy>Rey Adrien</cp:lastModifiedBy>
  <dcterms:created xsi:type="dcterms:W3CDTF">2026-01-09T15:00:22Z</dcterms:created>
  <dcterms:modified xsi:type="dcterms:W3CDTF">2026-01-30T20:26:33Z</dcterms:modified>
</cp:coreProperties>
</file>